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C9694547-F7D6-4821-A43F-CE600188320E}" xr6:coauthVersionLast="47" xr6:coauthVersionMax="47" xr10:uidLastSave="{00000000-0000-0000-0000-000000000000}"/>
  <bookViews>
    <workbookView xWindow="240" yWindow="105" windowWidth="14805" windowHeight="8010" firstSheet="6" activeTab="6" xr2:uid="{00000000-000D-0000-FFFF-FFFF00000000}"/>
  </bookViews>
  <sheets>
    <sheet name="Price" sheetId="1" r:id="rId1"/>
    <sheet name="Categories" sheetId="2" r:id="rId2"/>
    <sheet name="Inconsistent data" sheetId="3" r:id="rId3"/>
    <sheet name="Duplicates " sheetId="4" r:id="rId4"/>
    <sheet name="Splitting and merging" sheetId="5" r:id="rId5"/>
    <sheet name="Currency and data format" sheetId="6" r:id="rId6"/>
    <sheet name="Conditional formatting" sheetId="7" r:id="rId7"/>
  </sheets>
  <definedNames>
    <definedName name="_xlnm._FilterDatabase" localSheetId="2" hidden="1">'Inconsistent data'!$A$1:$F$1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5" i="6" l="1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2" i="6"/>
  <c r="I2" i="6"/>
  <c r="G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</calcChain>
</file>

<file path=xl/sharedStrings.xml><?xml version="1.0" encoding="utf-8"?>
<sst xmlns="http://schemas.openxmlformats.org/spreadsheetml/2006/main" count="1003" uniqueCount="138">
  <si>
    <t>Product ID</t>
  </si>
  <si>
    <t>Product Name</t>
  </si>
  <si>
    <t>Brand Name</t>
  </si>
  <si>
    <t>Price ($)</t>
  </si>
  <si>
    <t>Quantity</t>
  </si>
  <si>
    <t>Category</t>
  </si>
  <si>
    <t>ISBLANK</t>
  </si>
  <si>
    <t>Price imputation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</si>
  <si>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</si>
  <si>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</si>
  <si>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</si>
  <si>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</si>
  <si>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</si>
  <si>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</si>
  <si>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</si>
  <si>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</si>
  <si>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</si>
  <si>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</si>
  <si>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</si>
  <si>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</si>
  <si>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</si>
  <si>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</si>
  <si>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</si>
  <si>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1. Handling Missing Values:</t>
  </si>
  <si>
    <t>22-MAY-US</t>
  </si>
  <si>
    <t>Backpack</t>
  </si>
  <si>
    <t>North Face</t>
  </si>
  <si>
    <r>
      <t xml:space="preserve">● </t>
    </r>
    <r>
      <rPr>
        <sz val="12"/>
        <color rgb="FF000000"/>
        <rFont val="Calibri"/>
        <charset val="1"/>
      </rPr>
      <t>Check for missing values in the 'Price' column. How would you handle products with</t>
    </r>
  </si>
  <si>
    <t>07-JUN-UK</t>
  </si>
  <si>
    <t>Headphones</t>
  </si>
  <si>
    <t>Sony</t>
  </si>
  <si>
    <t>Electroni</t>
  </si>
  <si>
    <t>missing price information?</t>
  </si>
  <si>
    <t>19-JUL-UK</t>
  </si>
  <si>
    <t>T-shirt</t>
  </si>
  <si>
    <t>Adidas</t>
  </si>
  <si>
    <t>Answer : In column G, the formula used is ISBLANK; in column H, it is AVERAGE; and in column I, it is AVERAGEIF.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</si>
  <si>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</si>
  <si>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</si>
  <si>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</si>
  <si>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</si>
  <si>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</si>
  <si>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</si>
  <si>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</si>
  <si>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</si>
  <si>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</si>
  <si>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</si>
  <si>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</si>
  <si>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</si>
  <si>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</si>
  <si>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</si>
  <si>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</si>
  <si>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</si>
  <si>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</si>
  <si>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</si>
  <si>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</si>
  <si>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</si>
  <si>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</si>
  <si>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</si>
  <si>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</si>
  <si>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</si>
  <si>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</si>
  <si>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</si>
  <si>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</si>
  <si>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</si>
  <si>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</si>
  <si>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</si>
  <si>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</si>
  <si>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</si>
  <si>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</si>
  <si>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</si>
  <si>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</si>
  <si>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</si>
  <si>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</si>
  <si>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</si>
  <si>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</si>
  <si>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</si>
  <si>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</si>
  <si>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</si>
  <si>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</si>
  <si>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</si>
  <si>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</si>
  <si>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</si>
  <si>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</si>
  <si>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</si>
  <si>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</si>
  <si>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</si>
  <si>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</si>
  <si>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</si>
  <si>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</si>
  <si>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</si>
  <si>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</si>
  <si>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</si>
  <si>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</si>
  <si>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</si>
  <si>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</si>
  <si>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</si>
  <si>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</si>
  <si>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</si>
  <si>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</si>
  <si>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</si>
  <si>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</si>
  <si>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</si>
  <si>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Missing categories</t>
  </si>
  <si>
    <r>
      <t xml:space="preserve">● </t>
    </r>
    <r>
      <rPr>
        <sz val="12"/>
        <color rgb="FF000000"/>
        <rFont val="Calibri"/>
        <charset val="1"/>
      </rPr>
      <t>If there are products with missing categories, propose a strategy to impute or deal</t>
    </r>
  </si>
  <si>
    <t>with these missing values effectively</t>
  </si>
  <si>
    <t>Answer : In column G, the formula used is ISBLANK to identify missing categories.</t>
  </si>
  <si>
    <t>2. Correcting Inconsistent Data:</t>
  </si>
  <si>
    <r>
      <t xml:space="preserve">● </t>
    </r>
    <r>
      <rPr>
        <sz val="12"/>
        <color rgb="FF000000"/>
        <rFont val="Calibri"/>
        <charset val="1"/>
      </rPr>
      <t>Identify any inconsistent text formats present in the "Product Name" column.</t>
    </r>
  </si>
  <si>
    <r>
      <t xml:space="preserve">● </t>
    </r>
    <r>
      <rPr>
        <sz val="12"/>
        <color rgb="FF000000"/>
        <rFont val="Calibri"/>
        <charset val="1"/>
      </rPr>
      <t>Identify any typos present in the "Category" column.</t>
    </r>
  </si>
  <si>
    <r>
      <t xml:space="preserve">● </t>
    </r>
    <r>
      <rPr>
        <sz val="12"/>
        <color rgb="FF000000"/>
        <rFont val="Calibri"/>
        <charset val="1"/>
      </rPr>
      <t>Use the find and replace function to standardize the text formats in the "Product</t>
    </r>
  </si>
  <si>
    <t>Name" column and fix any typos or misspellings in the "Category" column</t>
  </si>
  <si>
    <t>Answer : I have corrected inconsistent text formats in the Product name column and identified typo mistakes in the Category column. I used the Find and Replace function to fix the misspellings</t>
  </si>
  <si>
    <t>Removing Duplicates:</t>
  </si>
  <si>
    <r>
      <t xml:space="preserve">● </t>
    </r>
    <r>
      <rPr>
        <sz val="12"/>
        <color rgb="FF000000"/>
        <rFont val="Calibri"/>
        <charset val="1"/>
      </rPr>
      <t>Identify any duplicate rows within the dataset based on the entirety of each row, and</t>
    </r>
  </si>
  <si>
    <t>remove them if any.</t>
  </si>
  <si>
    <t>Manufacturing date</t>
  </si>
  <si>
    <t>Country code</t>
  </si>
  <si>
    <t>Product Brand</t>
  </si>
  <si>
    <t>4. Splitting and Merging Data:</t>
  </si>
  <si>
    <r>
      <t xml:space="preserve">● </t>
    </r>
    <r>
      <rPr>
        <sz val="12"/>
        <color rgb="FF000000"/>
        <rFont val="Calibri"/>
        <charset val="1"/>
      </rPr>
      <t>Split the "Product ID" column into two separate columns for " Manufacturing Date"</t>
    </r>
  </si>
  <si>
    <t>and "Country Code". Remove unnecessary characters, if any.</t>
  </si>
  <si>
    <r>
      <t xml:space="preserve">● </t>
    </r>
    <r>
      <rPr>
        <sz val="12"/>
        <color rgb="FF000000"/>
        <rFont val="Calibri"/>
        <charset val="1"/>
      </rPr>
      <t>Merge the "Brand Name" and "Product Name" columns into one column named</t>
    </r>
  </si>
  <si>
    <t>"Product Brand".</t>
  </si>
  <si>
    <t>Answer in Column G,H and I</t>
  </si>
  <si>
    <t>Price currency format</t>
  </si>
  <si>
    <t>Manfacturing date</t>
  </si>
  <si>
    <t>Date</t>
  </si>
  <si>
    <t>5. Number Formatting:</t>
  </si>
  <si>
    <r>
      <t xml:space="preserve">● </t>
    </r>
    <r>
      <rPr>
        <sz val="12"/>
        <color rgb="FF000000"/>
        <rFont val="Calibri"/>
        <charset val="1"/>
      </rPr>
      <t>Format the data type of the "Price" column to a currency format.</t>
    </r>
  </si>
  <si>
    <r>
      <t xml:space="preserve">● </t>
    </r>
    <r>
      <rPr>
        <sz val="12"/>
        <color rgb="FF000000"/>
        <rFont val="Calibri"/>
        <charset val="1"/>
      </rPr>
      <t>Format the "Manufacturing Date" column to display dates in the "DD-MM-YYYY "</t>
    </r>
  </si>
  <si>
    <t>format.</t>
  </si>
  <si>
    <t>6. Conditional Formatting:</t>
  </si>
  <si>
    <r>
      <rPr>
        <sz val="12"/>
        <color rgb="FF000000"/>
        <rFont val="Arial"/>
      </rPr>
      <t xml:space="preserve">● </t>
    </r>
    <r>
      <rPr>
        <sz val="12"/>
        <color rgb="FF000000"/>
        <rFont val="Calibri"/>
      </rPr>
      <t xml:space="preserve">Apply data bar or color scales conditional formatting in the "Price" column. </t>
    </r>
    <r>
      <rPr>
        <sz val="12"/>
        <color rgb="FF000000"/>
        <rFont val="Arial"/>
      </rPr>
      <t xml:space="preserve">● </t>
    </r>
    <r>
      <rPr>
        <sz val="12"/>
        <color rgb="FF000000"/>
        <rFont val="Calibri"/>
      </rPr>
      <t>Create a</t>
    </r>
  </si>
  <si>
    <t>custom rule for conditional formatting in the "Category" column to highlight cells where</t>
  </si>
  <si>
    <t>the category is "Electronics."</t>
  </si>
  <si>
    <t>Answer : I applied data bars and color scales using conditional formatting in the Price column, and created a new rule with a formula in the Category column to highlight Electronics cells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</si>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</sst>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0">
    <font>
      <sz val="11"/>
      <color theme="1"/>
      <name val="Calibri"/>
      <family val="2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b/>
      <sz val="12"/>
      <color rgb="FF000000"/>
      <name val="Calibri-Bold"/>
      <charset val="1"/>
    </font>
    <font>
      <sz val="12"/>
      <color rgb="FF000000"/>
      <name val="Calibri"/>
      <charset val="1"/>
    </font>
    <font>
      <sz val="12"/>
      <color rgb="FF000000"/>
      <name val="Arial"/>
      <charset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2"/>
      <color rgb="FF000000"/>
      <name val="Arial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Fill="1" applyBorder="1" applyAlignment="1"/>
    <xf numFmtId="0" fontId="2" fillId="3" borderId="1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5" fillId="0" borderId="0" xfId="0" applyFont="1"/>
    <xf numFmtId="0" fontId="4" fillId="0" borderId="0" xfId="0" applyFont="1"/>
    <xf numFmtId="0" fontId="6" fillId="4" borderId="1" xfId="0" applyFont="1" applyFill="1" applyBorder="1"/>
    <xf numFmtId="0" fontId="6" fillId="4" borderId="2" xfId="0" applyFont="1" applyFill="1" applyBorder="1"/>
    <xf numFmtId="0" fontId="0" fillId="0" borderId="2" xfId="0" applyBorder="1"/>
    <xf numFmtId="0" fontId="0" fillId="0" borderId="1" xfId="0" applyBorder="1"/>
    <xf numFmtId="0" fontId="0" fillId="0" borderId="2" xfId="0" applyNumberFormat="1" applyBorder="1"/>
    <xf numFmtId="0" fontId="6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0" fontId="2" fillId="0" borderId="2" xfId="0" applyFont="1" applyFill="1" applyBorder="1" applyAlignment="1"/>
    <xf numFmtId="0" fontId="2" fillId="3" borderId="2" xfId="0" applyFont="1" applyFill="1" applyBorder="1" applyAlignment="1"/>
    <xf numFmtId="0" fontId="0" fillId="0" borderId="1" xfId="0" applyBorder="1" applyAlignment="1">
      <alignment horizontal="center"/>
    </xf>
    <xf numFmtId="0" fontId="6" fillId="0" borderId="0" xfId="0" applyFont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2" fillId="0" borderId="1" xfId="0" applyFont="1" applyFill="1" applyBorder="1" applyAlignment="1">
      <alignment horizontal="left" indent="1"/>
    </xf>
    <xf numFmtId="0" fontId="2" fillId="3" borderId="1" xfId="0" applyFont="1" applyFill="1" applyBorder="1" applyAlignment="1">
      <alignment horizontal="left" indent="1"/>
    </xf>
    <xf numFmtId="0" fontId="2" fillId="5" borderId="1" xfId="0" applyFont="1" applyFill="1" applyBorder="1" applyAlignment="1">
      <alignment horizontal="left" indent="1"/>
    </xf>
    <xf numFmtId="0" fontId="1" fillId="2" borderId="2" xfId="0" applyFont="1" applyFill="1" applyBorder="1" applyAlignment="1">
      <alignment horizontal="left" indent="1"/>
    </xf>
    <xf numFmtId="0" fontId="2" fillId="0" borderId="2" xfId="0" applyFont="1" applyFill="1" applyBorder="1" applyAlignment="1">
      <alignment horizontal="left" indent="1"/>
    </xf>
    <xf numFmtId="0" fontId="2" fillId="3" borderId="2" xfId="0" applyFont="1" applyFill="1" applyBorder="1" applyAlignment="1">
      <alignment horizontal="left" indent="1"/>
    </xf>
    <xf numFmtId="0" fontId="2" fillId="5" borderId="2" xfId="0" applyFont="1" applyFill="1" applyBorder="1" applyAlignment="1">
      <alignment horizontal="left" indent="1"/>
    </xf>
    <xf numFmtId="0" fontId="0" fillId="4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164" fontId="0" fillId="0" borderId="2" xfId="0" applyNumberFormat="1" applyBorder="1"/>
    <xf numFmtId="0" fontId="7" fillId="4" borderId="1" xfId="0" applyFont="1" applyFill="1" applyBorder="1" applyAlignment="1">
      <alignment horizontal="center"/>
    </xf>
    <xf numFmtId="14" fontId="0" fillId="0" borderId="1" xfId="0" applyNumberFormat="1" applyBorder="1"/>
    <xf numFmtId="14" fontId="0" fillId="0" borderId="2" xfId="0" applyNumberFormat="1" applyBorder="1" applyAlignment="1">
      <alignment horizontal="center"/>
    </xf>
    <xf numFmtId="0" fontId="6" fillId="0" borderId="0" xfId="0" applyFont="1" applyAlignment="1">
      <alignment horizont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11</xdr:row>
      <xdr:rowOff>0</xdr:rowOff>
    </xdr:from>
    <xdr:to>
      <xdr:col>18</xdr:col>
      <xdr:colOff>304800</xdr:colOff>
      <xdr:row>20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1F7DB1-CB24-50E9-6061-0460168B2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8075" y="2124075"/>
          <a:ext cx="4572000" cy="1733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opLeftCell="A20" workbookViewId="0">
      <selection activeCell="H2" sqref="H2"/>
    </sheetView>
  </sheetViews>
  <sheetFormatPr defaultRowHeight="15"/>
  <cols>
    <col min="1" max="1" width="11.140625" bestFit="1" customWidth="1"/>
    <col min="2" max="2" width="14.140625" bestFit="1" customWidth="1"/>
    <col min="3" max="3" width="12.140625" bestFit="1" customWidth="1"/>
    <col min="4" max="4" width="8.42578125" bestFit="1" customWidth="1"/>
    <col min="6" max="6" width="11.140625" bestFit="1" customWidth="1"/>
    <col min="8" max="8" width="16" bestFit="1" customWidth="1"/>
    <col min="9" max="9" width="16.140625" bestFit="1" customWidth="1"/>
    <col min="11" max="11" width="96" style="13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8" t="s">
        <v>6</v>
      </c>
      <c r="H1" s="8" t="s">
        <v>7</v>
      </c>
      <c r="I1" s="7" t="s">
        <v>7</v>
      </c>
    </row>
    <row r="2" spans="1:11">
      <c r="A2" s="1" t="s">
        <v>8</v>
      </c>
      <c r="B2" s="1" t="s">
        <v>9</v>
      </c>
      <c r="C2" s="1" t="s">
        <v>10</v>
      </c>
      <c r="D2" s="1">
        <v>1000</v>
      </c>
      <c r="E2" s="1">
        <v>30</v>
      </c>
      <c r="F2" s="1" t="s">
        <v>11</v>
      </c>
      <c r="G2" s="9" t="b">
        <f>ISBLANK(D2)</f>
        <v>0</v>
      </c>
      <c r="H2" s="11">
        <f>ROUND(IF(ISBLANK(D2),AVERAGE($D$2:$D$35),D2),0)</f>
        <v>1000</v>
      </c>
      <c r="I2" s="10">
        <f>IF(ISBLANK(D2),AVERAGEIF($B$2:$B$35,B2,$D$2:$D$35),D2)</f>
        <v>1000</v>
      </c>
    </row>
    <row r="3" spans="1:11">
      <c r="A3" s="2" t="s">
        <v>12</v>
      </c>
      <c r="B3" s="2" t="s">
        <v>13</v>
      </c>
      <c r="C3" s="2" t="s">
        <v>14</v>
      </c>
      <c r="D3" s="2">
        <v>80</v>
      </c>
      <c r="E3" s="2">
        <v>15</v>
      </c>
      <c r="F3" s="2" t="s">
        <v>15</v>
      </c>
      <c r="G3" s="9" t="b">
        <f t="shared" ref="G3:G35" si="0">ISBLANK(D3)</f>
        <v>0</v>
      </c>
      <c r="H3" s="11">
        <f t="shared" ref="H3:H35" si="1">ROUND(IF(ISBLANK(D3),AVERAGE($D$2:$D$35),D3),0)</f>
        <v>80</v>
      </c>
      <c r="I3" s="10">
        <f t="shared" ref="I3:I35" si="2">IF(ISBLANK(D3),AVERAGEIF($B$2:$B$35,B3,$D$2:$D$35),D3)</f>
        <v>80</v>
      </c>
    </row>
    <row r="4" spans="1:11">
      <c r="A4" s="1" t="s">
        <v>16</v>
      </c>
      <c r="B4" s="1" t="s">
        <v>17</v>
      </c>
      <c r="C4" s="1" t="s">
        <v>18</v>
      </c>
      <c r="D4" s="1">
        <v>130</v>
      </c>
      <c r="E4" s="1">
        <v>40</v>
      </c>
      <c r="F4" s="1" t="s">
        <v>19</v>
      </c>
      <c r="G4" s="9" t="b">
        <f t="shared" si="0"/>
        <v>0</v>
      </c>
      <c r="H4" s="11">
        <f t="shared" si="1"/>
        <v>130</v>
      </c>
      <c r="I4" s="10">
        <f t="shared" si="2"/>
        <v>130</v>
      </c>
    </row>
    <row r="5" spans="1:11" ht="15.75">
      <c r="A5" s="2" t="s">
        <v>20</v>
      </c>
      <c r="B5" s="2" t="s">
        <v>21</v>
      </c>
      <c r="C5" s="2" t="s">
        <v>22</v>
      </c>
      <c r="D5" s="2">
        <v>900</v>
      </c>
      <c r="E5" s="2">
        <v>25</v>
      </c>
      <c r="F5" s="2" t="s">
        <v>11</v>
      </c>
      <c r="G5" s="9" t="b">
        <f t="shared" si="0"/>
        <v>0</v>
      </c>
      <c r="H5" s="11">
        <f t="shared" si="1"/>
        <v>900</v>
      </c>
      <c r="I5" s="10">
        <f t="shared" si="2"/>
        <v>900</v>
      </c>
      <c r="K5" s="14" t="s">
        <v>23</v>
      </c>
    </row>
    <row r="6" spans="1:11" ht="15.75">
      <c r="A6" s="1" t="s">
        <v>24</v>
      </c>
      <c r="B6" s="1" t="s">
        <v>25</v>
      </c>
      <c r="C6" s="1" t="s">
        <v>26</v>
      </c>
      <c r="D6" s="1">
        <v>70</v>
      </c>
      <c r="E6" s="1">
        <v>20</v>
      </c>
      <c r="F6" s="1"/>
      <c r="G6" s="9" t="b">
        <f t="shared" si="0"/>
        <v>0</v>
      </c>
      <c r="H6" s="11">
        <f t="shared" si="1"/>
        <v>70</v>
      </c>
      <c r="I6" s="10">
        <f t="shared" si="2"/>
        <v>70</v>
      </c>
      <c r="K6" s="15" t="s">
        <v>27</v>
      </c>
    </row>
    <row r="7" spans="1:11" ht="15.75">
      <c r="A7" s="2" t="s">
        <v>28</v>
      </c>
      <c r="B7" s="2" t="s">
        <v>29</v>
      </c>
      <c r="C7" s="2" t="s">
        <v>30</v>
      </c>
      <c r="D7" s="2"/>
      <c r="E7" s="2">
        <v>45</v>
      </c>
      <c r="F7" s="2" t="s">
        <v>31</v>
      </c>
      <c r="G7" s="9" t="b">
        <f t="shared" si="0"/>
        <v>1</v>
      </c>
      <c r="H7" s="11">
        <f t="shared" si="1"/>
        <v>309</v>
      </c>
      <c r="I7" s="10">
        <f t="shared" si="2"/>
        <v>250</v>
      </c>
      <c r="K7" s="16" t="s">
        <v>32</v>
      </c>
    </row>
    <row r="8" spans="1:11">
      <c r="A8" s="1" t="s">
        <v>33</v>
      </c>
      <c r="B8" s="1" t="s">
        <v>34</v>
      </c>
      <c r="C8" s="1" t="s">
        <v>35</v>
      </c>
      <c r="D8" s="1">
        <v>30</v>
      </c>
      <c r="E8" s="1">
        <v>5</v>
      </c>
      <c r="F8" s="1" t="s">
        <v>15</v>
      </c>
      <c r="G8" s="9" t="b">
        <f t="shared" si="0"/>
        <v>0</v>
      </c>
      <c r="H8" s="11">
        <f t="shared" si="1"/>
        <v>30</v>
      </c>
      <c r="I8" s="10">
        <f t="shared" si="2"/>
        <v>30</v>
      </c>
      <c r="K8" s="17" t="s">
        <v>36</v>
      </c>
    </row>
    <row r="9" spans="1:11" ht="15.75">
      <c r="A9" s="2" t="s">
        <v>37</v>
      </c>
      <c r="B9" s="2" t="s">
        <v>38</v>
      </c>
      <c r="C9" s="2" t="s">
        <v>39</v>
      </c>
      <c r="D9" s="2">
        <v>90</v>
      </c>
      <c r="E9" s="2">
        <v>35</v>
      </c>
      <c r="F9" s="2" t="s">
        <v>19</v>
      </c>
      <c r="G9" s="9" t="b">
        <f t="shared" si="0"/>
        <v>0</v>
      </c>
      <c r="H9" s="11">
        <f t="shared" si="1"/>
        <v>90</v>
      </c>
      <c r="I9" s="10">
        <f t="shared" si="2"/>
        <v>90</v>
      </c>
      <c r="K9" s="16"/>
    </row>
    <row r="10" spans="1:11">
      <c r="A10" s="1" t="s">
        <v>40</v>
      </c>
      <c r="B10" s="1" t="s">
        <v>41</v>
      </c>
      <c r="C10" s="1" t="s">
        <v>42</v>
      </c>
      <c r="D10" s="1">
        <v>500</v>
      </c>
      <c r="E10" s="1">
        <v>50</v>
      </c>
      <c r="F10" s="1" t="s">
        <v>11</v>
      </c>
      <c r="G10" s="9" t="b">
        <f t="shared" si="0"/>
        <v>0</v>
      </c>
      <c r="H10" s="11">
        <f t="shared" si="1"/>
        <v>500</v>
      </c>
      <c r="I10" s="10">
        <f t="shared" si="2"/>
        <v>500</v>
      </c>
    </row>
    <row r="11" spans="1:11">
      <c r="A11" s="2" t="s">
        <v>43</v>
      </c>
      <c r="B11" s="2" t="s">
        <v>44</v>
      </c>
      <c r="C11" s="2" t="s">
        <v>45</v>
      </c>
      <c r="D11" s="2">
        <v>130</v>
      </c>
      <c r="E11" s="2">
        <v>10</v>
      </c>
      <c r="F11" s="2" t="s">
        <v>46</v>
      </c>
      <c r="G11" s="9" t="b">
        <f t="shared" si="0"/>
        <v>0</v>
      </c>
      <c r="H11" s="11">
        <f t="shared" si="1"/>
        <v>130</v>
      </c>
      <c r="I11" s="10">
        <f t="shared" si="2"/>
        <v>130</v>
      </c>
    </row>
    <row r="12" spans="1:11" ht="15.75">
      <c r="A12" s="1" t="s">
        <v>47</v>
      </c>
      <c r="B12" s="1" t="s">
        <v>48</v>
      </c>
      <c r="C12" s="1" t="s">
        <v>49</v>
      </c>
      <c r="D12" s="1">
        <v>950</v>
      </c>
      <c r="E12" s="1">
        <v>25</v>
      </c>
      <c r="F12" s="1" t="s">
        <v>11</v>
      </c>
      <c r="G12" s="9" t="b">
        <f t="shared" si="0"/>
        <v>0</v>
      </c>
      <c r="H12" s="11">
        <f t="shared" si="1"/>
        <v>950</v>
      </c>
      <c r="I12" s="10">
        <f t="shared" si="2"/>
        <v>950</v>
      </c>
      <c r="K12" s="15"/>
    </row>
    <row r="13" spans="1:11" ht="15.75">
      <c r="A13" s="2" t="s">
        <v>50</v>
      </c>
      <c r="B13" s="2" t="s">
        <v>13</v>
      </c>
      <c r="C13" s="2" t="s">
        <v>35</v>
      </c>
      <c r="D13" s="2">
        <v>90</v>
      </c>
      <c r="E13" s="2">
        <v>40</v>
      </c>
      <c r="F13" s="2"/>
      <c r="G13" s="9" t="b">
        <f t="shared" si="0"/>
        <v>0</v>
      </c>
      <c r="H13" s="11">
        <f t="shared" si="1"/>
        <v>90</v>
      </c>
      <c r="I13" s="10">
        <f t="shared" si="2"/>
        <v>90</v>
      </c>
      <c r="K13" s="16"/>
    </row>
    <row r="14" spans="1:11">
      <c r="A14" s="1" t="s">
        <v>51</v>
      </c>
      <c r="B14" s="1" t="s">
        <v>17</v>
      </c>
      <c r="C14" s="1" t="s">
        <v>52</v>
      </c>
      <c r="D14" s="1">
        <v>120</v>
      </c>
      <c r="E14" s="1">
        <v>35</v>
      </c>
      <c r="F14" s="1"/>
      <c r="G14" s="9" t="b">
        <f t="shared" si="0"/>
        <v>0</v>
      </c>
      <c r="H14" s="11">
        <f t="shared" si="1"/>
        <v>120</v>
      </c>
      <c r="I14" s="10">
        <f t="shared" si="2"/>
        <v>120</v>
      </c>
    </row>
    <row r="15" spans="1:11">
      <c r="A15" s="2" t="s">
        <v>53</v>
      </c>
      <c r="B15" s="2" t="s">
        <v>54</v>
      </c>
      <c r="C15" s="2" t="s">
        <v>55</v>
      </c>
      <c r="D15" s="2">
        <v>150</v>
      </c>
      <c r="E15" s="2">
        <v>15</v>
      </c>
      <c r="F15" s="2" t="s">
        <v>31</v>
      </c>
      <c r="G15" s="9" t="b">
        <f t="shared" si="0"/>
        <v>0</v>
      </c>
      <c r="H15" s="11">
        <f t="shared" si="1"/>
        <v>150</v>
      </c>
      <c r="I15" s="10">
        <f t="shared" si="2"/>
        <v>150</v>
      </c>
    </row>
    <row r="16" spans="1:11">
      <c r="A16" s="1" t="s">
        <v>56</v>
      </c>
      <c r="B16" s="1" t="s">
        <v>57</v>
      </c>
      <c r="C16" s="1" t="s">
        <v>58</v>
      </c>
      <c r="D16" s="1">
        <v>250</v>
      </c>
      <c r="E16" s="1">
        <v>20</v>
      </c>
      <c r="F16" s="1" t="s">
        <v>31</v>
      </c>
      <c r="G16" s="9" t="b">
        <f t="shared" si="0"/>
        <v>0</v>
      </c>
      <c r="H16" s="11">
        <f t="shared" si="1"/>
        <v>250</v>
      </c>
      <c r="I16" s="10">
        <f t="shared" si="2"/>
        <v>250</v>
      </c>
    </row>
    <row r="17" spans="1:9">
      <c r="A17" s="2" t="s">
        <v>59</v>
      </c>
      <c r="B17" s="2" t="s">
        <v>60</v>
      </c>
      <c r="C17" s="2" t="s">
        <v>61</v>
      </c>
      <c r="D17" s="2">
        <v>50</v>
      </c>
      <c r="E17" s="2">
        <v>35</v>
      </c>
      <c r="F17" s="2" t="s">
        <v>62</v>
      </c>
      <c r="G17" s="9" t="b">
        <f t="shared" si="0"/>
        <v>0</v>
      </c>
      <c r="H17" s="11">
        <f t="shared" si="1"/>
        <v>50</v>
      </c>
      <c r="I17" s="10">
        <f t="shared" si="2"/>
        <v>50</v>
      </c>
    </row>
    <row r="18" spans="1:9">
      <c r="A18" s="1" t="s">
        <v>63</v>
      </c>
      <c r="B18" s="1" t="s">
        <v>54</v>
      </c>
      <c r="C18" s="1" t="s">
        <v>64</v>
      </c>
      <c r="D18" s="1">
        <v>160</v>
      </c>
      <c r="E18" s="1">
        <v>15</v>
      </c>
      <c r="F18" s="1" t="s">
        <v>31</v>
      </c>
      <c r="G18" s="9" t="b">
        <f t="shared" si="0"/>
        <v>0</v>
      </c>
      <c r="H18" s="11">
        <f t="shared" si="1"/>
        <v>160</v>
      </c>
      <c r="I18" s="10">
        <f t="shared" si="2"/>
        <v>160</v>
      </c>
    </row>
    <row r="19" spans="1:9">
      <c r="A19" s="2" t="s">
        <v>65</v>
      </c>
      <c r="B19" s="2" t="s">
        <v>9</v>
      </c>
      <c r="C19" s="2" t="s">
        <v>66</v>
      </c>
      <c r="D19" s="2">
        <v>980</v>
      </c>
      <c r="E19" s="2">
        <v>10</v>
      </c>
      <c r="F19" s="2" t="s">
        <v>11</v>
      </c>
      <c r="G19" s="9" t="b">
        <f t="shared" si="0"/>
        <v>0</v>
      </c>
      <c r="H19" s="11">
        <f t="shared" si="1"/>
        <v>980</v>
      </c>
      <c r="I19" s="10">
        <f t="shared" si="2"/>
        <v>980</v>
      </c>
    </row>
    <row r="20" spans="1:9">
      <c r="A20" s="1" t="s">
        <v>67</v>
      </c>
      <c r="B20" s="1" t="s">
        <v>68</v>
      </c>
      <c r="C20" s="1" t="s">
        <v>69</v>
      </c>
      <c r="D20" s="1">
        <v>150</v>
      </c>
      <c r="E20" s="1">
        <v>15</v>
      </c>
      <c r="F20" s="1" t="s">
        <v>15</v>
      </c>
      <c r="G20" s="9" t="b">
        <f t="shared" si="0"/>
        <v>0</v>
      </c>
      <c r="H20" s="11">
        <f t="shared" si="1"/>
        <v>150</v>
      </c>
      <c r="I20" s="10">
        <f t="shared" si="2"/>
        <v>150</v>
      </c>
    </row>
    <row r="21" spans="1:9">
      <c r="A21" s="2" t="s">
        <v>70</v>
      </c>
      <c r="B21" s="2" t="s">
        <v>71</v>
      </c>
      <c r="C21" s="2" t="s">
        <v>72</v>
      </c>
      <c r="D21" s="2"/>
      <c r="E21" s="2">
        <v>10</v>
      </c>
      <c r="F21" s="2" t="s">
        <v>46</v>
      </c>
      <c r="G21" s="9" t="b">
        <f t="shared" si="0"/>
        <v>1</v>
      </c>
      <c r="H21" s="11">
        <f t="shared" si="1"/>
        <v>309</v>
      </c>
      <c r="I21" s="10">
        <v>150</v>
      </c>
    </row>
    <row r="22" spans="1:9">
      <c r="A22" s="1" t="s">
        <v>73</v>
      </c>
      <c r="B22" s="1" t="s">
        <v>74</v>
      </c>
      <c r="C22" s="1" t="s">
        <v>75</v>
      </c>
      <c r="D22" s="1">
        <v>700</v>
      </c>
      <c r="E22" s="1">
        <v>50</v>
      </c>
      <c r="F22" s="1" t="s">
        <v>11</v>
      </c>
      <c r="G22" s="9" t="b">
        <f t="shared" si="0"/>
        <v>0</v>
      </c>
      <c r="H22" s="11">
        <f t="shared" si="1"/>
        <v>700</v>
      </c>
      <c r="I22" s="10">
        <f t="shared" si="2"/>
        <v>700</v>
      </c>
    </row>
    <row r="23" spans="1:9">
      <c r="A23" s="2" t="s">
        <v>76</v>
      </c>
      <c r="B23" s="2" t="s">
        <v>77</v>
      </c>
      <c r="C23" s="2" t="s">
        <v>78</v>
      </c>
      <c r="D23" s="2">
        <v>80</v>
      </c>
      <c r="E23" s="2">
        <v>20</v>
      </c>
      <c r="F23" s="2" t="s">
        <v>19</v>
      </c>
      <c r="G23" s="9" t="b">
        <f t="shared" si="0"/>
        <v>0</v>
      </c>
      <c r="H23" s="11">
        <f t="shared" si="1"/>
        <v>80</v>
      </c>
      <c r="I23" s="10">
        <f t="shared" si="2"/>
        <v>80</v>
      </c>
    </row>
    <row r="24" spans="1:9">
      <c r="A24" s="1" t="s">
        <v>79</v>
      </c>
      <c r="B24" s="1" t="s">
        <v>80</v>
      </c>
      <c r="C24" s="1" t="s">
        <v>81</v>
      </c>
      <c r="D24" s="1">
        <v>150</v>
      </c>
      <c r="E24" s="1">
        <v>30</v>
      </c>
      <c r="F24" s="1"/>
      <c r="G24" s="9" t="b">
        <f t="shared" si="0"/>
        <v>0</v>
      </c>
      <c r="H24" s="11">
        <f t="shared" si="1"/>
        <v>150</v>
      </c>
      <c r="I24" s="10">
        <f t="shared" si="2"/>
        <v>150</v>
      </c>
    </row>
    <row r="25" spans="1:9">
      <c r="A25" s="2" t="s">
        <v>59</v>
      </c>
      <c r="B25" s="2" t="s">
        <v>60</v>
      </c>
      <c r="C25" s="2" t="s">
        <v>61</v>
      </c>
      <c r="D25" s="2">
        <v>50</v>
      </c>
      <c r="E25" s="2">
        <v>35</v>
      </c>
      <c r="F25" s="2" t="s">
        <v>62</v>
      </c>
      <c r="G25" s="9" t="b">
        <f t="shared" si="0"/>
        <v>0</v>
      </c>
      <c r="H25" s="11">
        <f t="shared" si="1"/>
        <v>50</v>
      </c>
      <c r="I25" s="10">
        <f t="shared" si="2"/>
        <v>50</v>
      </c>
    </row>
    <row r="26" spans="1:9">
      <c r="A26" s="1" t="s">
        <v>82</v>
      </c>
      <c r="B26" s="1" t="s">
        <v>83</v>
      </c>
      <c r="C26" s="1" t="s">
        <v>84</v>
      </c>
      <c r="D26" s="1">
        <v>800</v>
      </c>
      <c r="E26" s="1">
        <v>45</v>
      </c>
      <c r="F26" s="1" t="s">
        <v>11</v>
      </c>
      <c r="G26" s="9" t="b">
        <f t="shared" si="0"/>
        <v>0</v>
      </c>
      <c r="H26" s="11">
        <f t="shared" si="1"/>
        <v>800</v>
      </c>
      <c r="I26" s="10">
        <f t="shared" si="2"/>
        <v>800</v>
      </c>
    </row>
    <row r="27" spans="1:9">
      <c r="A27" s="2" t="s">
        <v>85</v>
      </c>
      <c r="B27" s="2" t="s">
        <v>68</v>
      </c>
      <c r="C27" s="2" t="s">
        <v>86</v>
      </c>
      <c r="D27" s="2"/>
      <c r="E27" s="2">
        <v>25</v>
      </c>
      <c r="F27" s="2" t="s">
        <v>15</v>
      </c>
      <c r="G27" s="9" t="b">
        <f t="shared" si="0"/>
        <v>1</v>
      </c>
      <c r="H27" s="11">
        <f t="shared" si="1"/>
        <v>309</v>
      </c>
      <c r="I27" s="10">
        <f t="shared" si="2"/>
        <v>150</v>
      </c>
    </row>
    <row r="28" spans="1:9">
      <c r="A28" s="1" t="s">
        <v>87</v>
      </c>
      <c r="B28" s="1" t="s">
        <v>38</v>
      </c>
      <c r="C28" s="1" t="s">
        <v>88</v>
      </c>
      <c r="D28" s="1">
        <v>400</v>
      </c>
      <c r="E28" s="1">
        <v>40</v>
      </c>
      <c r="F28" s="1" t="s">
        <v>19</v>
      </c>
      <c r="G28" s="9" t="b">
        <f t="shared" si="0"/>
        <v>0</v>
      </c>
      <c r="H28" s="11">
        <f t="shared" si="1"/>
        <v>400</v>
      </c>
      <c r="I28" s="10">
        <f t="shared" si="2"/>
        <v>400</v>
      </c>
    </row>
    <row r="29" spans="1:9">
      <c r="A29" s="2" t="s">
        <v>56</v>
      </c>
      <c r="B29" s="2" t="s">
        <v>57</v>
      </c>
      <c r="C29" s="2" t="s">
        <v>58</v>
      </c>
      <c r="D29" s="2">
        <v>250</v>
      </c>
      <c r="E29" s="2">
        <v>20</v>
      </c>
      <c r="F29" s="2" t="s">
        <v>31</v>
      </c>
      <c r="G29" s="9" t="b">
        <f t="shared" si="0"/>
        <v>0</v>
      </c>
      <c r="H29" s="11">
        <f t="shared" si="1"/>
        <v>250</v>
      </c>
      <c r="I29" s="10">
        <f t="shared" si="2"/>
        <v>250</v>
      </c>
    </row>
    <row r="30" spans="1:9">
      <c r="A30" s="1" t="s">
        <v>89</v>
      </c>
      <c r="B30" s="1" t="s">
        <v>90</v>
      </c>
      <c r="C30" s="1" t="s">
        <v>91</v>
      </c>
      <c r="D30" s="1">
        <v>60</v>
      </c>
      <c r="E30" s="1">
        <v>30</v>
      </c>
      <c r="F30" s="1" t="s">
        <v>15</v>
      </c>
      <c r="G30" s="9" t="b">
        <f t="shared" si="0"/>
        <v>0</v>
      </c>
      <c r="H30" s="11">
        <f t="shared" si="1"/>
        <v>60</v>
      </c>
      <c r="I30" s="10">
        <f t="shared" si="2"/>
        <v>60</v>
      </c>
    </row>
    <row r="31" spans="1:9">
      <c r="A31" s="2" t="s">
        <v>92</v>
      </c>
      <c r="B31" s="2" t="s">
        <v>93</v>
      </c>
      <c r="C31" s="2" t="s">
        <v>94</v>
      </c>
      <c r="D31" s="2">
        <v>40</v>
      </c>
      <c r="E31" s="2">
        <v>10</v>
      </c>
      <c r="F31" s="2" t="s">
        <v>19</v>
      </c>
      <c r="G31" s="9" t="b">
        <f t="shared" si="0"/>
        <v>0</v>
      </c>
      <c r="H31" s="11">
        <f t="shared" si="1"/>
        <v>40</v>
      </c>
      <c r="I31" s="10">
        <f t="shared" si="2"/>
        <v>40</v>
      </c>
    </row>
    <row r="32" spans="1:9">
      <c r="A32" s="1" t="s">
        <v>95</v>
      </c>
      <c r="B32" s="1" t="s">
        <v>80</v>
      </c>
      <c r="C32" s="1" t="s">
        <v>96</v>
      </c>
      <c r="D32" s="1">
        <v>130</v>
      </c>
      <c r="E32" s="1">
        <v>5</v>
      </c>
      <c r="F32" s="1" t="s">
        <v>11</v>
      </c>
      <c r="G32" s="9" t="b">
        <f t="shared" si="0"/>
        <v>0</v>
      </c>
      <c r="H32" s="11">
        <f t="shared" si="1"/>
        <v>130</v>
      </c>
      <c r="I32" s="10">
        <f t="shared" si="2"/>
        <v>130</v>
      </c>
    </row>
    <row r="33" spans="1:9">
      <c r="A33" s="2" t="s">
        <v>97</v>
      </c>
      <c r="B33" s="2" t="s">
        <v>98</v>
      </c>
      <c r="C33" s="2" t="s">
        <v>99</v>
      </c>
      <c r="D33" s="2">
        <v>50</v>
      </c>
      <c r="E33" s="2">
        <v>50</v>
      </c>
      <c r="F33" s="2" t="s">
        <v>15</v>
      </c>
      <c r="G33" s="9" t="b">
        <f t="shared" si="0"/>
        <v>0</v>
      </c>
      <c r="H33" s="11">
        <f t="shared" si="1"/>
        <v>50</v>
      </c>
      <c r="I33" s="10">
        <f t="shared" si="2"/>
        <v>50</v>
      </c>
    </row>
    <row r="34" spans="1:9">
      <c r="A34" s="1" t="s">
        <v>47</v>
      </c>
      <c r="B34" s="1" t="s">
        <v>48</v>
      </c>
      <c r="C34" s="1" t="s">
        <v>49</v>
      </c>
      <c r="D34" s="1">
        <v>950</v>
      </c>
      <c r="E34" s="1">
        <v>25</v>
      </c>
      <c r="F34" s="1" t="s">
        <v>11</v>
      </c>
      <c r="G34" s="9" t="b">
        <f t="shared" si="0"/>
        <v>0</v>
      </c>
      <c r="H34" s="11">
        <f t="shared" si="1"/>
        <v>950</v>
      </c>
      <c r="I34" s="10">
        <f t="shared" si="2"/>
        <v>950</v>
      </c>
    </row>
    <row r="35" spans="1:9">
      <c r="A35" s="2" t="s">
        <v>100</v>
      </c>
      <c r="B35" s="2" t="s">
        <v>101</v>
      </c>
      <c r="C35" s="2" t="s">
        <v>102</v>
      </c>
      <c r="D35" s="2">
        <v>100</v>
      </c>
      <c r="E35" s="2">
        <v>20</v>
      </c>
      <c r="F35" s="2" t="s">
        <v>62</v>
      </c>
      <c r="G35" s="9" t="b">
        <f t="shared" si="0"/>
        <v>0</v>
      </c>
      <c r="H35" s="11">
        <f t="shared" si="1"/>
        <v>100</v>
      </c>
      <c r="I35" s="10">
        <f t="shared" si="2"/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30872-A860-4EDB-A704-091329D1973F}">
  <dimension ref="A1:K35"/>
  <sheetViews>
    <sheetView workbookViewId="0">
      <selection activeCell="K15" sqref="K15"/>
    </sheetView>
  </sheetViews>
  <sheetFormatPr defaultRowHeight="15"/>
  <cols>
    <col min="1" max="1" width="11.140625" bestFit="1" customWidth="1"/>
    <col min="2" max="2" width="14.140625" bestFit="1" customWidth="1"/>
    <col min="3" max="3" width="12.140625" bestFit="1" customWidth="1"/>
    <col min="6" max="6" width="11.140625" bestFit="1" customWidth="1"/>
    <col min="7" max="7" width="18.5703125" customWidth="1"/>
    <col min="11" max="11" width="81.7109375" bestFit="1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8" t="s">
        <v>103</v>
      </c>
    </row>
    <row r="2" spans="1:11">
      <c r="A2" s="1" t="s">
        <v>8</v>
      </c>
      <c r="B2" s="1" t="s">
        <v>9</v>
      </c>
      <c r="C2" s="1" t="s">
        <v>10</v>
      </c>
      <c r="D2" s="1">
        <v>1000</v>
      </c>
      <c r="E2" s="1">
        <v>30</v>
      </c>
      <c r="F2" s="19" t="s">
        <v>11</v>
      </c>
      <c r="G2" s="21" t="str">
        <f>IF(ISBLANK(F2),"UNKNOWN",F2)</f>
        <v>Electronics</v>
      </c>
    </row>
    <row r="3" spans="1:11">
      <c r="A3" s="2" t="s">
        <v>12</v>
      </c>
      <c r="B3" s="2" t="s">
        <v>13</v>
      </c>
      <c r="C3" s="2" t="s">
        <v>14</v>
      </c>
      <c r="D3" s="2">
        <v>80</v>
      </c>
      <c r="E3" s="2">
        <v>15</v>
      </c>
      <c r="F3" s="20" t="s">
        <v>15</v>
      </c>
      <c r="G3" s="21" t="str">
        <f t="shared" ref="G3:G35" si="0">IF(ISBLANK(F3),"UNKNOWN",F3)</f>
        <v>Fashion</v>
      </c>
    </row>
    <row r="4" spans="1:11">
      <c r="A4" s="1" t="s">
        <v>16</v>
      </c>
      <c r="B4" s="1" t="s">
        <v>17</v>
      </c>
      <c r="C4" s="1" t="s">
        <v>18</v>
      </c>
      <c r="D4" s="1">
        <v>130</v>
      </c>
      <c r="E4" s="1">
        <v>40</v>
      </c>
      <c r="F4" s="19" t="s">
        <v>19</v>
      </c>
      <c r="G4" s="21" t="str">
        <f t="shared" si="0"/>
        <v>Kitchen</v>
      </c>
    </row>
    <row r="5" spans="1:11" ht="15.75">
      <c r="A5" s="2" t="s">
        <v>20</v>
      </c>
      <c r="B5" s="2" t="s">
        <v>21</v>
      </c>
      <c r="C5" s="2" t="s">
        <v>22</v>
      </c>
      <c r="D5" s="2">
        <v>900</v>
      </c>
      <c r="E5" s="2">
        <v>25</v>
      </c>
      <c r="F5" s="20" t="s">
        <v>11</v>
      </c>
      <c r="G5" s="21" t="str">
        <f t="shared" si="0"/>
        <v>Electronics</v>
      </c>
      <c r="K5" s="14" t="s">
        <v>23</v>
      </c>
    </row>
    <row r="6" spans="1:11">
      <c r="A6" s="1" t="s">
        <v>24</v>
      </c>
      <c r="B6" s="1" t="s">
        <v>25</v>
      </c>
      <c r="C6" s="1" t="s">
        <v>26</v>
      </c>
      <c r="D6" s="1">
        <v>70</v>
      </c>
      <c r="E6" s="1">
        <v>20</v>
      </c>
      <c r="F6" s="19"/>
      <c r="G6" s="21" t="str">
        <f t="shared" si="0"/>
        <v>UNKNOWN</v>
      </c>
    </row>
    <row r="7" spans="1:11" ht="15.75">
      <c r="A7" s="2" t="s">
        <v>28</v>
      </c>
      <c r="B7" s="2" t="s">
        <v>29</v>
      </c>
      <c r="C7" s="2" t="s">
        <v>30</v>
      </c>
      <c r="D7" s="2"/>
      <c r="E7" s="2">
        <v>45</v>
      </c>
      <c r="F7" s="20" t="s">
        <v>31</v>
      </c>
      <c r="G7" s="21" t="str">
        <f t="shared" si="0"/>
        <v>Electroni</v>
      </c>
      <c r="K7" s="15" t="s">
        <v>104</v>
      </c>
    </row>
    <row r="8" spans="1:11" ht="15.75">
      <c r="A8" s="1" t="s">
        <v>33</v>
      </c>
      <c r="B8" s="1" t="s">
        <v>34</v>
      </c>
      <c r="C8" s="1" t="s">
        <v>35</v>
      </c>
      <c r="D8" s="1">
        <v>30</v>
      </c>
      <c r="E8" s="1">
        <v>5</v>
      </c>
      <c r="F8" s="19" t="s">
        <v>15</v>
      </c>
      <c r="G8" s="21" t="str">
        <f t="shared" si="0"/>
        <v>Fashion</v>
      </c>
      <c r="K8" s="16" t="s">
        <v>105</v>
      </c>
    </row>
    <row r="9" spans="1:11">
      <c r="A9" s="2" t="s">
        <v>37</v>
      </c>
      <c r="B9" s="2" t="s">
        <v>38</v>
      </c>
      <c r="C9" s="2" t="s">
        <v>39</v>
      </c>
      <c r="D9" s="2">
        <v>90</v>
      </c>
      <c r="E9" s="2">
        <v>35</v>
      </c>
      <c r="F9" s="20" t="s">
        <v>19</v>
      </c>
      <c r="G9" s="21" t="str">
        <f t="shared" si="0"/>
        <v>Kitchen</v>
      </c>
    </row>
    <row r="10" spans="1:11">
      <c r="A10" s="1" t="s">
        <v>40</v>
      </c>
      <c r="B10" s="1" t="s">
        <v>41</v>
      </c>
      <c r="C10" s="1" t="s">
        <v>42</v>
      </c>
      <c r="D10" s="1">
        <v>500</v>
      </c>
      <c r="E10" s="1">
        <v>50</v>
      </c>
      <c r="F10" s="19" t="s">
        <v>11</v>
      </c>
      <c r="G10" s="21" t="str">
        <f t="shared" si="0"/>
        <v>Electronics</v>
      </c>
      <c r="K10" s="22" t="s">
        <v>106</v>
      </c>
    </row>
    <row r="11" spans="1:11">
      <c r="A11" s="2" t="s">
        <v>43</v>
      </c>
      <c r="B11" s="2" t="s">
        <v>44</v>
      </c>
      <c r="C11" s="2" t="s">
        <v>45</v>
      </c>
      <c r="D11" s="2">
        <v>130</v>
      </c>
      <c r="E11" s="2">
        <v>10</v>
      </c>
      <c r="F11" s="20" t="s">
        <v>46</v>
      </c>
      <c r="G11" s="21" t="str">
        <f t="shared" si="0"/>
        <v>Outdoor</v>
      </c>
    </row>
    <row r="12" spans="1:11">
      <c r="A12" s="1" t="s">
        <v>47</v>
      </c>
      <c r="B12" s="1" t="s">
        <v>48</v>
      </c>
      <c r="C12" s="1" t="s">
        <v>49</v>
      </c>
      <c r="D12" s="1">
        <v>950</v>
      </c>
      <c r="E12" s="1">
        <v>25</v>
      </c>
      <c r="F12" s="19" t="s">
        <v>11</v>
      </c>
      <c r="G12" s="21" t="str">
        <f t="shared" si="0"/>
        <v>Electronics</v>
      </c>
    </row>
    <row r="13" spans="1:11">
      <c r="A13" s="2" t="s">
        <v>50</v>
      </c>
      <c r="B13" s="2" t="s">
        <v>13</v>
      </c>
      <c r="C13" s="2" t="s">
        <v>35</v>
      </c>
      <c r="D13" s="2">
        <v>90</v>
      </c>
      <c r="E13" s="2">
        <v>40</v>
      </c>
      <c r="F13" s="20"/>
      <c r="G13" s="21" t="str">
        <f t="shared" si="0"/>
        <v>UNKNOWN</v>
      </c>
    </row>
    <row r="14" spans="1:11">
      <c r="A14" s="1" t="s">
        <v>51</v>
      </c>
      <c r="B14" s="1" t="s">
        <v>17</v>
      </c>
      <c r="C14" s="1" t="s">
        <v>52</v>
      </c>
      <c r="D14" s="1">
        <v>120</v>
      </c>
      <c r="E14" s="1">
        <v>35</v>
      </c>
      <c r="F14" s="19"/>
      <c r="G14" s="21" t="str">
        <f t="shared" si="0"/>
        <v>UNKNOWN</v>
      </c>
    </row>
    <row r="15" spans="1:11">
      <c r="A15" s="2" t="s">
        <v>53</v>
      </c>
      <c r="B15" s="2" t="s">
        <v>54</v>
      </c>
      <c r="C15" s="2" t="s">
        <v>55</v>
      </c>
      <c r="D15" s="2">
        <v>150</v>
      </c>
      <c r="E15" s="2">
        <v>15</v>
      </c>
      <c r="F15" s="20" t="s">
        <v>31</v>
      </c>
      <c r="G15" s="21" t="str">
        <f t="shared" si="0"/>
        <v>Electroni</v>
      </c>
    </row>
    <row r="16" spans="1:11">
      <c r="A16" s="1" t="s">
        <v>56</v>
      </c>
      <c r="B16" s="1" t="s">
        <v>57</v>
      </c>
      <c r="C16" s="1" t="s">
        <v>58</v>
      </c>
      <c r="D16" s="1">
        <v>250</v>
      </c>
      <c r="E16" s="1">
        <v>20</v>
      </c>
      <c r="F16" s="19" t="s">
        <v>31</v>
      </c>
      <c r="G16" s="21" t="str">
        <f t="shared" si="0"/>
        <v>Electroni</v>
      </c>
    </row>
    <row r="17" spans="1:7">
      <c r="A17" s="2" t="s">
        <v>59</v>
      </c>
      <c r="B17" s="2" t="s">
        <v>60</v>
      </c>
      <c r="C17" s="2" t="s">
        <v>61</v>
      </c>
      <c r="D17" s="2">
        <v>50</v>
      </c>
      <c r="E17" s="2">
        <v>35</v>
      </c>
      <c r="F17" s="20" t="s">
        <v>62</v>
      </c>
      <c r="G17" s="21" t="str">
        <f t="shared" si="0"/>
        <v>Accessories</v>
      </c>
    </row>
    <row r="18" spans="1:7">
      <c r="A18" s="1" t="s">
        <v>63</v>
      </c>
      <c r="B18" s="1" t="s">
        <v>54</v>
      </c>
      <c r="C18" s="1" t="s">
        <v>64</v>
      </c>
      <c r="D18" s="1">
        <v>160</v>
      </c>
      <c r="E18" s="1">
        <v>15</v>
      </c>
      <c r="F18" s="19" t="s">
        <v>31</v>
      </c>
      <c r="G18" s="21" t="str">
        <f t="shared" si="0"/>
        <v>Electroni</v>
      </c>
    </row>
    <row r="19" spans="1:7">
      <c r="A19" s="2" t="s">
        <v>65</v>
      </c>
      <c r="B19" s="2" t="s">
        <v>9</v>
      </c>
      <c r="C19" s="2" t="s">
        <v>66</v>
      </c>
      <c r="D19" s="2">
        <v>980</v>
      </c>
      <c r="E19" s="2">
        <v>10</v>
      </c>
      <c r="F19" s="20" t="s">
        <v>11</v>
      </c>
      <c r="G19" s="21" t="str">
        <f t="shared" si="0"/>
        <v>Electronics</v>
      </c>
    </row>
    <row r="20" spans="1:7">
      <c r="A20" s="1" t="s">
        <v>67</v>
      </c>
      <c r="B20" s="1" t="s">
        <v>68</v>
      </c>
      <c r="C20" s="1" t="s">
        <v>69</v>
      </c>
      <c r="D20" s="1">
        <v>150</v>
      </c>
      <c r="E20" s="1">
        <v>15</v>
      </c>
      <c r="F20" s="19" t="s">
        <v>15</v>
      </c>
      <c r="G20" s="21" t="str">
        <f t="shared" si="0"/>
        <v>Fashion</v>
      </c>
    </row>
    <row r="21" spans="1:7">
      <c r="A21" s="2" t="s">
        <v>70</v>
      </c>
      <c r="B21" s="2" t="s">
        <v>71</v>
      </c>
      <c r="C21" s="2" t="s">
        <v>72</v>
      </c>
      <c r="D21" s="2"/>
      <c r="E21" s="2">
        <v>10</v>
      </c>
      <c r="F21" s="20" t="s">
        <v>46</v>
      </c>
      <c r="G21" s="21" t="str">
        <f t="shared" si="0"/>
        <v>Outdoor</v>
      </c>
    </row>
    <row r="22" spans="1:7">
      <c r="A22" s="1" t="s">
        <v>73</v>
      </c>
      <c r="B22" s="1" t="s">
        <v>74</v>
      </c>
      <c r="C22" s="1" t="s">
        <v>75</v>
      </c>
      <c r="D22" s="1">
        <v>700</v>
      </c>
      <c r="E22" s="1">
        <v>50</v>
      </c>
      <c r="F22" s="19" t="s">
        <v>11</v>
      </c>
      <c r="G22" s="21" t="str">
        <f t="shared" si="0"/>
        <v>Electronics</v>
      </c>
    </row>
    <row r="23" spans="1:7">
      <c r="A23" s="2" t="s">
        <v>76</v>
      </c>
      <c r="B23" s="2" t="s">
        <v>77</v>
      </c>
      <c r="C23" s="2" t="s">
        <v>78</v>
      </c>
      <c r="D23" s="2">
        <v>80</v>
      </c>
      <c r="E23" s="2">
        <v>20</v>
      </c>
      <c r="F23" s="20" t="s">
        <v>19</v>
      </c>
      <c r="G23" s="21" t="str">
        <f t="shared" si="0"/>
        <v>Kitchen</v>
      </c>
    </row>
    <row r="24" spans="1:7">
      <c r="A24" s="1" t="s">
        <v>79</v>
      </c>
      <c r="B24" s="1" t="s">
        <v>80</v>
      </c>
      <c r="C24" s="1" t="s">
        <v>81</v>
      </c>
      <c r="D24" s="1">
        <v>150</v>
      </c>
      <c r="E24" s="1">
        <v>30</v>
      </c>
      <c r="F24" s="19"/>
      <c r="G24" s="21" t="str">
        <f t="shared" si="0"/>
        <v>UNKNOWN</v>
      </c>
    </row>
    <row r="25" spans="1:7">
      <c r="A25" s="2" t="s">
        <v>59</v>
      </c>
      <c r="B25" s="2" t="s">
        <v>60</v>
      </c>
      <c r="C25" s="2" t="s">
        <v>61</v>
      </c>
      <c r="D25" s="2">
        <v>50</v>
      </c>
      <c r="E25" s="2">
        <v>35</v>
      </c>
      <c r="F25" s="20" t="s">
        <v>62</v>
      </c>
      <c r="G25" s="21" t="str">
        <f t="shared" si="0"/>
        <v>Accessories</v>
      </c>
    </row>
    <row r="26" spans="1:7">
      <c r="A26" s="1" t="s">
        <v>82</v>
      </c>
      <c r="B26" s="1" t="s">
        <v>83</v>
      </c>
      <c r="C26" s="1" t="s">
        <v>84</v>
      </c>
      <c r="D26" s="1">
        <v>800</v>
      </c>
      <c r="E26" s="1">
        <v>45</v>
      </c>
      <c r="F26" s="19" t="s">
        <v>11</v>
      </c>
      <c r="G26" s="21" t="str">
        <f t="shared" si="0"/>
        <v>Electronics</v>
      </c>
    </row>
    <row r="27" spans="1:7">
      <c r="A27" s="2" t="s">
        <v>85</v>
      </c>
      <c r="B27" s="2" t="s">
        <v>68</v>
      </c>
      <c r="C27" s="2" t="s">
        <v>86</v>
      </c>
      <c r="D27" s="2"/>
      <c r="E27" s="2">
        <v>25</v>
      </c>
      <c r="F27" s="20" t="s">
        <v>15</v>
      </c>
      <c r="G27" s="21" t="str">
        <f t="shared" si="0"/>
        <v>Fashion</v>
      </c>
    </row>
    <row r="28" spans="1:7">
      <c r="A28" s="1" t="s">
        <v>87</v>
      </c>
      <c r="B28" s="1" t="s">
        <v>38</v>
      </c>
      <c r="C28" s="1" t="s">
        <v>88</v>
      </c>
      <c r="D28" s="1">
        <v>400</v>
      </c>
      <c r="E28" s="1">
        <v>40</v>
      </c>
      <c r="F28" s="19" t="s">
        <v>19</v>
      </c>
      <c r="G28" s="21" t="str">
        <f t="shared" si="0"/>
        <v>Kitchen</v>
      </c>
    </row>
    <row r="29" spans="1:7">
      <c r="A29" s="2" t="s">
        <v>56</v>
      </c>
      <c r="B29" s="2" t="s">
        <v>57</v>
      </c>
      <c r="C29" s="2" t="s">
        <v>58</v>
      </c>
      <c r="D29" s="2">
        <v>250</v>
      </c>
      <c r="E29" s="2">
        <v>20</v>
      </c>
      <c r="F29" s="20" t="s">
        <v>31</v>
      </c>
      <c r="G29" s="21" t="str">
        <f t="shared" si="0"/>
        <v>Electroni</v>
      </c>
    </row>
    <row r="30" spans="1:7">
      <c r="A30" s="1" t="s">
        <v>89</v>
      </c>
      <c r="B30" s="1" t="s">
        <v>90</v>
      </c>
      <c r="C30" s="1" t="s">
        <v>91</v>
      </c>
      <c r="D30" s="1">
        <v>60</v>
      </c>
      <c r="E30" s="1">
        <v>30</v>
      </c>
      <c r="F30" s="19" t="s">
        <v>15</v>
      </c>
      <c r="G30" s="21" t="str">
        <f t="shared" si="0"/>
        <v>Fashion</v>
      </c>
    </row>
    <row r="31" spans="1:7">
      <c r="A31" s="2" t="s">
        <v>92</v>
      </c>
      <c r="B31" s="2" t="s">
        <v>93</v>
      </c>
      <c r="C31" s="2" t="s">
        <v>94</v>
      </c>
      <c r="D31" s="2">
        <v>40</v>
      </c>
      <c r="E31" s="2">
        <v>10</v>
      </c>
      <c r="F31" s="20" t="s">
        <v>19</v>
      </c>
      <c r="G31" s="21" t="str">
        <f t="shared" si="0"/>
        <v>Kitchen</v>
      </c>
    </row>
    <row r="32" spans="1:7">
      <c r="A32" s="1" t="s">
        <v>95</v>
      </c>
      <c r="B32" s="1" t="s">
        <v>80</v>
      </c>
      <c r="C32" s="1" t="s">
        <v>96</v>
      </c>
      <c r="D32" s="1">
        <v>130</v>
      </c>
      <c r="E32" s="1">
        <v>5</v>
      </c>
      <c r="F32" s="19" t="s">
        <v>11</v>
      </c>
      <c r="G32" s="21" t="str">
        <f t="shared" si="0"/>
        <v>Electronics</v>
      </c>
    </row>
    <row r="33" spans="1:7">
      <c r="A33" s="2" t="s">
        <v>97</v>
      </c>
      <c r="B33" s="2" t="s">
        <v>98</v>
      </c>
      <c r="C33" s="2" t="s">
        <v>99</v>
      </c>
      <c r="D33" s="2">
        <v>50</v>
      </c>
      <c r="E33" s="2">
        <v>50</v>
      </c>
      <c r="F33" s="20" t="s">
        <v>15</v>
      </c>
      <c r="G33" s="21" t="str">
        <f t="shared" si="0"/>
        <v>Fashion</v>
      </c>
    </row>
    <row r="34" spans="1:7">
      <c r="A34" s="1" t="s">
        <v>47</v>
      </c>
      <c r="B34" s="1" t="s">
        <v>48</v>
      </c>
      <c r="C34" s="1" t="s">
        <v>49</v>
      </c>
      <c r="D34" s="1">
        <v>950</v>
      </c>
      <c r="E34" s="1">
        <v>25</v>
      </c>
      <c r="F34" s="19" t="s">
        <v>11</v>
      </c>
      <c r="G34" s="21" t="str">
        <f t="shared" si="0"/>
        <v>Electronics</v>
      </c>
    </row>
    <row r="35" spans="1:7">
      <c r="A35" s="2" t="s">
        <v>100</v>
      </c>
      <c r="B35" s="2" t="s">
        <v>101</v>
      </c>
      <c r="C35" s="2" t="s">
        <v>102</v>
      </c>
      <c r="D35" s="2">
        <v>100</v>
      </c>
      <c r="E35" s="2">
        <v>20</v>
      </c>
      <c r="F35" s="20" t="s">
        <v>62</v>
      </c>
      <c r="G35" s="21" t="str">
        <f t="shared" si="0"/>
        <v>Accessories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A03E1-9EEE-4686-9929-5A5661991298}">
  <dimension ref="A1:O35"/>
  <sheetViews>
    <sheetView topLeftCell="A3" workbookViewId="0">
      <selection activeCell="L16" sqref="L16"/>
    </sheetView>
  </sheetViews>
  <sheetFormatPr defaultColWidth="9.140625" defaultRowHeight="15"/>
  <cols>
    <col min="1" max="1" width="13" customWidth="1"/>
    <col min="2" max="2" width="16.42578125" customWidth="1"/>
    <col min="3" max="3" width="12.140625" bestFit="1" customWidth="1"/>
    <col min="4" max="4" width="8.42578125" bestFit="1" customWidth="1"/>
    <col min="5" max="5" width="8.7109375" bestFit="1" customWidth="1"/>
    <col min="6" max="6" width="14" customWidth="1"/>
    <col min="11" max="11" width="9.140625" bestFit="1" customWidth="1"/>
    <col min="12" max="12" width="120.42578125" customWidth="1"/>
  </cols>
  <sheetData>
    <row r="1" spans="1:1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</row>
    <row r="2" spans="1:15">
      <c r="A2" s="24" t="s">
        <v>8</v>
      </c>
      <c r="B2" s="24" t="s">
        <v>48</v>
      </c>
      <c r="C2" s="24" t="s">
        <v>10</v>
      </c>
      <c r="D2" s="24">
        <v>1000</v>
      </c>
      <c r="E2" s="24">
        <v>30</v>
      </c>
      <c r="F2" s="24" t="s">
        <v>11</v>
      </c>
    </row>
    <row r="3" spans="1:15">
      <c r="A3" s="25" t="s">
        <v>12</v>
      </c>
      <c r="B3" s="25" t="s">
        <v>13</v>
      </c>
      <c r="C3" s="25" t="s">
        <v>14</v>
      </c>
      <c r="D3" s="25">
        <v>80</v>
      </c>
      <c r="E3" s="25">
        <v>15</v>
      </c>
      <c r="F3" s="25" t="s">
        <v>15</v>
      </c>
    </row>
    <row r="4" spans="1:15">
      <c r="A4" s="24" t="s">
        <v>16</v>
      </c>
      <c r="B4" s="24" t="s">
        <v>17</v>
      </c>
      <c r="C4" s="24" t="s">
        <v>18</v>
      </c>
      <c r="D4" s="24">
        <v>130</v>
      </c>
      <c r="E4" s="24">
        <v>40</v>
      </c>
      <c r="F4" s="24" t="s">
        <v>19</v>
      </c>
    </row>
    <row r="5" spans="1:15" ht="15.75">
      <c r="A5" s="25" t="s">
        <v>20</v>
      </c>
      <c r="B5" s="25" t="s">
        <v>83</v>
      </c>
      <c r="C5" s="25" t="s">
        <v>22</v>
      </c>
      <c r="D5" s="25">
        <v>900</v>
      </c>
      <c r="E5" s="25">
        <v>25</v>
      </c>
      <c r="F5" s="25" t="s">
        <v>11</v>
      </c>
      <c r="L5" s="14" t="s">
        <v>107</v>
      </c>
    </row>
    <row r="6" spans="1:15" ht="15.75">
      <c r="A6" s="26" t="s">
        <v>24</v>
      </c>
      <c r="B6" s="26" t="s">
        <v>25</v>
      </c>
      <c r="C6" s="26" t="s">
        <v>26</v>
      </c>
      <c r="D6" s="26">
        <v>70</v>
      </c>
      <c r="E6" s="26">
        <v>20</v>
      </c>
      <c r="F6" s="26" t="s">
        <v>62</v>
      </c>
      <c r="L6" s="15" t="s">
        <v>108</v>
      </c>
    </row>
    <row r="7" spans="1:15" ht="15.75">
      <c r="A7" s="25" t="s">
        <v>28</v>
      </c>
      <c r="B7" s="25" t="s">
        <v>29</v>
      </c>
      <c r="C7" s="25" t="s">
        <v>30</v>
      </c>
      <c r="D7" s="25"/>
      <c r="E7" s="25">
        <v>45</v>
      </c>
      <c r="F7" s="25" t="s">
        <v>11</v>
      </c>
      <c r="L7" s="15" t="s">
        <v>109</v>
      </c>
    </row>
    <row r="8" spans="1:15" ht="15.75">
      <c r="A8" s="24" t="s">
        <v>33</v>
      </c>
      <c r="B8" s="24" t="s">
        <v>34</v>
      </c>
      <c r="C8" s="24" t="s">
        <v>35</v>
      </c>
      <c r="D8" s="24">
        <v>30</v>
      </c>
      <c r="E8" s="24">
        <v>5</v>
      </c>
      <c r="F8" s="24" t="s">
        <v>15</v>
      </c>
      <c r="L8" s="15" t="s">
        <v>110</v>
      </c>
    </row>
    <row r="9" spans="1:15" ht="15.75">
      <c r="A9" s="25" t="s">
        <v>37</v>
      </c>
      <c r="B9" s="25" t="s">
        <v>38</v>
      </c>
      <c r="C9" s="25" t="s">
        <v>39</v>
      </c>
      <c r="D9" s="25">
        <v>90</v>
      </c>
      <c r="E9" s="25">
        <v>35</v>
      </c>
      <c r="F9" s="25" t="s">
        <v>19</v>
      </c>
      <c r="L9" s="16" t="s">
        <v>111</v>
      </c>
    </row>
    <row r="10" spans="1:15">
      <c r="A10" s="24" t="s">
        <v>40</v>
      </c>
      <c r="B10" s="24" t="s">
        <v>41</v>
      </c>
      <c r="C10" s="24" t="s">
        <v>42</v>
      </c>
      <c r="D10" s="24">
        <v>500</v>
      </c>
      <c r="E10" s="24">
        <v>50</v>
      </c>
      <c r="F10" s="24" t="s">
        <v>11</v>
      </c>
    </row>
    <row r="11" spans="1:15">
      <c r="A11" s="25" t="s">
        <v>43</v>
      </c>
      <c r="B11" s="25" t="s">
        <v>44</v>
      </c>
      <c r="C11" s="25" t="s">
        <v>45</v>
      </c>
      <c r="D11" s="25">
        <v>130</v>
      </c>
      <c r="E11" s="25">
        <v>10</v>
      </c>
      <c r="F11" s="25" t="s">
        <v>46</v>
      </c>
    </row>
    <row r="12" spans="1:15" ht="30.75">
      <c r="A12" s="24" t="s">
        <v>47</v>
      </c>
      <c r="B12" s="24" t="s">
        <v>48</v>
      </c>
      <c r="C12" s="24" t="s">
        <v>49</v>
      </c>
      <c r="D12" s="24">
        <v>950</v>
      </c>
      <c r="E12" s="24">
        <v>25</v>
      </c>
      <c r="F12" s="24" t="s">
        <v>11</v>
      </c>
      <c r="J12" s="12"/>
      <c r="K12" s="12"/>
      <c r="L12" s="40" t="s">
        <v>112</v>
      </c>
      <c r="M12" s="12"/>
      <c r="N12" s="12"/>
      <c r="O12" s="12"/>
    </row>
    <row r="13" spans="1:15">
      <c r="A13" s="25" t="s">
        <v>50</v>
      </c>
      <c r="B13" s="25" t="s">
        <v>13</v>
      </c>
      <c r="C13" s="25" t="s">
        <v>35</v>
      </c>
      <c r="D13" s="25">
        <v>90</v>
      </c>
      <c r="E13" s="25">
        <v>40</v>
      </c>
      <c r="F13" s="25" t="s">
        <v>15</v>
      </c>
    </row>
    <row r="14" spans="1:15">
      <c r="A14" s="24" t="s">
        <v>51</v>
      </c>
      <c r="B14" s="24" t="s">
        <v>17</v>
      </c>
      <c r="C14" s="24" t="s">
        <v>52</v>
      </c>
      <c r="D14" s="24">
        <v>120</v>
      </c>
      <c r="E14" s="24">
        <v>35</v>
      </c>
      <c r="F14" s="24" t="s">
        <v>19</v>
      </c>
    </row>
    <row r="15" spans="1:15">
      <c r="A15" s="25" t="s">
        <v>53</v>
      </c>
      <c r="B15" s="25" t="s">
        <v>54</v>
      </c>
      <c r="C15" s="25" t="s">
        <v>55</v>
      </c>
      <c r="D15" s="25">
        <v>150</v>
      </c>
      <c r="E15" s="25">
        <v>15</v>
      </c>
      <c r="F15" s="25" t="s">
        <v>11</v>
      </c>
    </row>
    <row r="16" spans="1:15">
      <c r="A16" s="24" t="s">
        <v>56</v>
      </c>
      <c r="B16" s="24" t="s">
        <v>29</v>
      </c>
      <c r="C16" s="24" t="s">
        <v>58</v>
      </c>
      <c r="D16" s="24">
        <v>250</v>
      </c>
      <c r="E16" s="24">
        <v>20</v>
      </c>
      <c r="F16" s="24" t="s">
        <v>11</v>
      </c>
    </row>
    <row r="17" spans="1:6">
      <c r="A17" s="25" t="s">
        <v>59</v>
      </c>
      <c r="B17" s="25" t="s">
        <v>60</v>
      </c>
      <c r="C17" s="25" t="s">
        <v>61</v>
      </c>
      <c r="D17" s="25">
        <v>50</v>
      </c>
      <c r="E17" s="25">
        <v>35</v>
      </c>
      <c r="F17" s="25" t="s">
        <v>62</v>
      </c>
    </row>
    <row r="18" spans="1:6">
      <c r="A18" s="24" t="s">
        <v>63</v>
      </c>
      <c r="B18" s="24" t="s">
        <v>54</v>
      </c>
      <c r="C18" s="24" t="s">
        <v>64</v>
      </c>
      <c r="D18" s="24">
        <v>160</v>
      </c>
      <c r="E18" s="24">
        <v>15</v>
      </c>
      <c r="F18" s="24" t="s">
        <v>11</v>
      </c>
    </row>
    <row r="19" spans="1:6">
      <c r="A19" s="25" t="s">
        <v>65</v>
      </c>
      <c r="B19" s="25" t="s">
        <v>48</v>
      </c>
      <c r="C19" s="25" t="s">
        <v>66</v>
      </c>
      <c r="D19" s="25">
        <v>980</v>
      </c>
      <c r="E19" s="25">
        <v>10</v>
      </c>
      <c r="F19" s="25" t="s">
        <v>11</v>
      </c>
    </row>
    <row r="20" spans="1:6">
      <c r="A20" s="24" t="s">
        <v>67</v>
      </c>
      <c r="B20" s="24" t="s">
        <v>68</v>
      </c>
      <c r="C20" s="24" t="s">
        <v>69</v>
      </c>
      <c r="D20" s="24">
        <v>150</v>
      </c>
      <c r="E20" s="24">
        <v>15</v>
      </c>
      <c r="F20" s="24" t="s">
        <v>15</v>
      </c>
    </row>
    <row r="21" spans="1:6">
      <c r="A21" s="25" t="s">
        <v>70</v>
      </c>
      <c r="B21" s="25" t="s">
        <v>71</v>
      </c>
      <c r="C21" s="25" t="s">
        <v>72</v>
      </c>
      <c r="D21" s="25"/>
      <c r="E21" s="25">
        <v>10</v>
      </c>
      <c r="F21" s="25" t="s">
        <v>46</v>
      </c>
    </row>
    <row r="22" spans="1:6">
      <c r="A22" s="24" t="s">
        <v>73</v>
      </c>
      <c r="B22" s="24" t="s">
        <v>74</v>
      </c>
      <c r="C22" s="24" t="s">
        <v>75</v>
      </c>
      <c r="D22" s="24">
        <v>700</v>
      </c>
      <c r="E22" s="24">
        <v>50</v>
      </c>
      <c r="F22" s="24" t="s">
        <v>11</v>
      </c>
    </row>
    <row r="23" spans="1:6">
      <c r="A23" s="25" t="s">
        <v>76</v>
      </c>
      <c r="B23" s="25" t="s">
        <v>77</v>
      </c>
      <c r="C23" s="25" t="s">
        <v>78</v>
      </c>
      <c r="D23" s="25">
        <v>80</v>
      </c>
      <c r="E23" s="25">
        <v>20</v>
      </c>
      <c r="F23" s="25" t="s">
        <v>19</v>
      </c>
    </row>
    <row r="24" spans="1:6">
      <c r="A24" s="24" t="s">
        <v>79</v>
      </c>
      <c r="B24" s="24" t="s">
        <v>80</v>
      </c>
      <c r="C24" s="24" t="s">
        <v>81</v>
      </c>
      <c r="D24" s="24">
        <v>150</v>
      </c>
      <c r="E24" s="24">
        <v>30</v>
      </c>
      <c r="F24" s="24" t="s">
        <v>11</v>
      </c>
    </row>
    <row r="25" spans="1:6">
      <c r="A25" s="25" t="s">
        <v>59</v>
      </c>
      <c r="B25" s="25" t="s">
        <v>60</v>
      </c>
      <c r="C25" s="25" t="s">
        <v>61</v>
      </c>
      <c r="D25" s="25">
        <v>50</v>
      </c>
      <c r="E25" s="25">
        <v>35</v>
      </c>
      <c r="F25" s="25" t="s">
        <v>62</v>
      </c>
    </row>
    <row r="26" spans="1:6">
      <c r="A26" s="24" t="s">
        <v>82</v>
      </c>
      <c r="B26" s="24" t="s">
        <v>83</v>
      </c>
      <c r="C26" s="24" t="s">
        <v>84</v>
      </c>
      <c r="D26" s="24">
        <v>800</v>
      </c>
      <c r="E26" s="24">
        <v>45</v>
      </c>
      <c r="F26" s="24" t="s">
        <v>11</v>
      </c>
    </row>
    <row r="27" spans="1:6">
      <c r="A27" s="25" t="s">
        <v>85</v>
      </c>
      <c r="B27" s="25" t="s">
        <v>68</v>
      </c>
      <c r="C27" s="25" t="s">
        <v>86</v>
      </c>
      <c r="D27" s="25"/>
      <c r="E27" s="25">
        <v>25</v>
      </c>
      <c r="F27" s="25" t="s">
        <v>15</v>
      </c>
    </row>
    <row r="28" spans="1:6">
      <c r="A28" s="24" t="s">
        <v>87</v>
      </c>
      <c r="B28" s="24" t="s">
        <v>38</v>
      </c>
      <c r="C28" s="24" t="s">
        <v>88</v>
      </c>
      <c r="D28" s="24">
        <v>400</v>
      </c>
      <c r="E28" s="24">
        <v>40</v>
      </c>
      <c r="F28" s="24" t="s">
        <v>19</v>
      </c>
    </row>
    <row r="29" spans="1:6">
      <c r="A29" s="25" t="s">
        <v>56</v>
      </c>
      <c r="B29" s="25" t="s">
        <v>29</v>
      </c>
      <c r="C29" s="25" t="s">
        <v>58</v>
      </c>
      <c r="D29" s="25">
        <v>250</v>
      </c>
      <c r="E29" s="25">
        <v>20</v>
      </c>
      <c r="F29" s="25" t="s">
        <v>11</v>
      </c>
    </row>
    <row r="30" spans="1:6">
      <c r="A30" s="24" t="s">
        <v>89</v>
      </c>
      <c r="B30" s="24" t="s">
        <v>90</v>
      </c>
      <c r="C30" s="24" t="s">
        <v>91</v>
      </c>
      <c r="D30" s="24">
        <v>60</v>
      </c>
      <c r="E30" s="24">
        <v>30</v>
      </c>
      <c r="F30" s="24" t="s">
        <v>15</v>
      </c>
    </row>
    <row r="31" spans="1:6">
      <c r="A31" s="25" t="s">
        <v>92</v>
      </c>
      <c r="B31" s="25" t="s">
        <v>93</v>
      </c>
      <c r="C31" s="25" t="s">
        <v>94</v>
      </c>
      <c r="D31" s="25">
        <v>40</v>
      </c>
      <c r="E31" s="25">
        <v>10</v>
      </c>
      <c r="F31" s="25" t="s">
        <v>19</v>
      </c>
    </row>
    <row r="32" spans="1:6">
      <c r="A32" s="24" t="s">
        <v>95</v>
      </c>
      <c r="B32" s="24" t="s">
        <v>80</v>
      </c>
      <c r="C32" s="24" t="s">
        <v>96</v>
      </c>
      <c r="D32" s="24">
        <v>130</v>
      </c>
      <c r="E32" s="24">
        <v>5</v>
      </c>
      <c r="F32" s="24" t="s">
        <v>11</v>
      </c>
    </row>
    <row r="33" spans="1:6">
      <c r="A33" s="25" t="s">
        <v>97</v>
      </c>
      <c r="B33" s="25" t="s">
        <v>98</v>
      </c>
      <c r="C33" s="25" t="s">
        <v>99</v>
      </c>
      <c r="D33" s="25">
        <v>50</v>
      </c>
      <c r="E33" s="25">
        <v>50</v>
      </c>
      <c r="F33" s="25" t="s">
        <v>15</v>
      </c>
    </row>
    <row r="34" spans="1:6">
      <c r="A34" s="24" t="s">
        <v>47</v>
      </c>
      <c r="B34" s="24" t="s">
        <v>48</v>
      </c>
      <c r="C34" s="24" t="s">
        <v>49</v>
      </c>
      <c r="D34" s="24">
        <v>950</v>
      </c>
      <c r="E34" s="24">
        <v>25</v>
      </c>
      <c r="F34" s="24" t="s">
        <v>11</v>
      </c>
    </row>
    <row r="35" spans="1:6">
      <c r="A35" s="25" t="s">
        <v>100</v>
      </c>
      <c r="B35" s="25" t="s">
        <v>101</v>
      </c>
      <c r="C35" s="25" t="s">
        <v>102</v>
      </c>
      <c r="D35" s="25">
        <v>100</v>
      </c>
      <c r="E35" s="25">
        <v>20</v>
      </c>
      <c r="F35" s="25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C64CF-A5AD-425C-A137-D2518EB7BF45}">
  <dimension ref="A1:L32"/>
  <sheetViews>
    <sheetView topLeftCell="A6" workbookViewId="0"/>
  </sheetViews>
  <sheetFormatPr defaultRowHeight="15"/>
  <cols>
    <col min="1" max="1" width="11.140625" bestFit="1" customWidth="1"/>
    <col min="2" max="2" width="14.140625" bestFit="1" customWidth="1"/>
    <col min="3" max="3" width="12.140625" bestFit="1" customWidth="1"/>
    <col min="4" max="4" width="8.42578125" bestFit="1" customWidth="1"/>
    <col min="6" max="6" width="15.140625" customWidth="1"/>
  </cols>
  <sheetData>
    <row r="1" spans="1:1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</row>
    <row r="2" spans="1:12">
      <c r="A2" s="24" t="s">
        <v>8</v>
      </c>
      <c r="B2" s="24" t="s">
        <v>48</v>
      </c>
      <c r="C2" s="24" t="s">
        <v>10</v>
      </c>
      <c r="D2" s="24">
        <v>1000</v>
      </c>
      <c r="E2" s="24">
        <v>30</v>
      </c>
      <c r="F2" s="24" t="s">
        <v>11</v>
      </c>
    </row>
    <row r="3" spans="1:12">
      <c r="A3" s="25" t="s">
        <v>12</v>
      </c>
      <c r="B3" s="25" t="s">
        <v>13</v>
      </c>
      <c r="C3" s="25" t="s">
        <v>14</v>
      </c>
      <c r="D3" s="25">
        <v>80</v>
      </c>
      <c r="E3" s="25">
        <v>15</v>
      </c>
      <c r="F3" s="25" t="s">
        <v>15</v>
      </c>
    </row>
    <row r="4" spans="1:12">
      <c r="A4" s="24" t="s">
        <v>16</v>
      </c>
      <c r="B4" s="24" t="s">
        <v>17</v>
      </c>
      <c r="C4" s="24" t="s">
        <v>18</v>
      </c>
      <c r="D4" s="24">
        <v>130</v>
      </c>
      <c r="E4" s="24">
        <v>40</v>
      </c>
      <c r="F4" s="24" t="s">
        <v>19</v>
      </c>
    </row>
    <row r="5" spans="1:12">
      <c r="A5" s="25" t="s">
        <v>20</v>
      </c>
      <c r="B5" s="25" t="s">
        <v>83</v>
      </c>
      <c r="C5" s="25" t="s">
        <v>22</v>
      </c>
      <c r="D5" s="25">
        <v>900</v>
      </c>
      <c r="E5" s="25">
        <v>25</v>
      </c>
      <c r="F5" s="25" t="s">
        <v>11</v>
      </c>
    </row>
    <row r="6" spans="1:12">
      <c r="A6" s="26" t="s">
        <v>24</v>
      </c>
      <c r="B6" s="26" t="s">
        <v>25</v>
      </c>
      <c r="C6" s="26" t="s">
        <v>26</v>
      </c>
      <c r="D6" s="26">
        <v>70</v>
      </c>
      <c r="E6" s="26">
        <v>20</v>
      </c>
      <c r="F6" s="26" t="s">
        <v>62</v>
      </c>
    </row>
    <row r="7" spans="1:12">
      <c r="A7" s="25" t="s">
        <v>28</v>
      </c>
      <c r="B7" s="25" t="s">
        <v>29</v>
      </c>
      <c r="C7" s="25" t="s">
        <v>30</v>
      </c>
      <c r="D7" s="25"/>
      <c r="E7" s="25">
        <v>45</v>
      </c>
      <c r="F7" s="25" t="s">
        <v>11</v>
      </c>
    </row>
    <row r="8" spans="1:12" ht="15.75">
      <c r="A8" s="24" t="s">
        <v>33</v>
      </c>
      <c r="B8" s="24" t="s">
        <v>34</v>
      </c>
      <c r="C8" s="24" t="s">
        <v>35</v>
      </c>
      <c r="D8" s="24">
        <v>30</v>
      </c>
      <c r="E8" s="24">
        <v>5</v>
      </c>
      <c r="F8" s="24" t="s">
        <v>15</v>
      </c>
      <c r="L8" s="4" t="s">
        <v>113</v>
      </c>
    </row>
    <row r="9" spans="1:12" ht="15.75">
      <c r="A9" s="25" t="s">
        <v>37</v>
      </c>
      <c r="B9" s="25" t="s">
        <v>38</v>
      </c>
      <c r="C9" s="25" t="s">
        <v>39</v>
      </c>
      <c r="D9" s="25">
        <v>90</v>
      </c>
      <c r="E9" s="25">
        <v>35</v>
      </c>
      <c r="F9" s="25" t="s">
        <v>19</v>
      </c>
      <c r="L9" s="5" t="s">
        <v>114</v>
      </c>
    </row>
    <row r="10" spans="1:12" ht="15.75">
      <c r="A10" s="24" t="s">
        <v>40</v>
      </c>
      <c r="B10" s="24" t="s">
        <v>41</v>
      </c>
      <c r="C10" s="24" t="s">
        <v>42</v>
      </c>
      <c r="D10" s="24">
        <v>500</v>
      </c>
      <c r="E10" s="24">
        <v>50</v>
      </c>
      <c r="F10" s="24" t="s">
        <v>11</v>
      </c>
      <c r="L10" s="6" t="s">
        <v>115</v>
      </c>
    </row>
    <row r="11" spans="1:12">
      <c r="A11" s="25" t="s">
        <v>43</v>
      </c>
      <c r="B11" s="25" t="s">
        <v>44</v>
      </c>
      <c r="C11" s="25" t="s">
        <v>45</v>
      </c>
      <c r="D11" s="25">
        <v>130</v>
      </c>
      <c r="E11" s="25">
        <v>10</v>
      </c>
      <c r="F11" s="25" t="s">
        <v>46</v>
      </c>
    </row>
    <row r="12" spans="1:12">
      <c r="A12" s="24" t="s">
        <v>47</v>
      </c>
      <c r="B12" s="24" t="s">
        <v>48</v>
      </c>
      <c r="C12" s="24" t="s">
        <v>49</v>
      </c>
      <c r="D12" s="24">
        <v>950</v>
      </c>
      <c r="E12" s="24">
        <v>25</v>
      </c>
      <c r="F12" s="24" t="s">
        <v>11</v>
      </c>
    </row>
    <row r="13" spans="1:12">
      <c r="A13" s="25" t="s">
        <v>50</v>
      </c>
      <c r="B13" s="25" t="s">
        <v>13</v>
      </c>
      <c r="C13" s="25" t="s">
        <v>35</v>
      </c>
      <c r="D13" s="25">
        <v>90</v>
      </c>
      <c r="E13" s="25">
        <v>40</v>
      </c>
      <c r="F13" s="25" t="s">
        <v>15</v>
      </c>
    </row>
    <row r="14" spans="1:12">
      <c r="A14" s="24" t="s">
        <v>51</v>
      </c>
      <c r="B14" s="24" t="s">
        <v>17</v>
      </c>
      <c r="C14" s="24" t="s">
        <v>52</v>
      </c>
      <c r="D14" s="24">
        <v>120</v>
      </c>
      <c r="E14" s="24">
        <v>35</v>
      </c>
      <c r="F14" s="24" t="s">
        <v>19</v>
      </c>
    </row>
    <row r="15" spans="1:12">
      <c r="A15" s="25" t="s">
        <v>53</v>
      </c>
      <c r="B15" s="25" t="s">
        <v>54</v>
      </c>
      <c r="C15" s="25" t="s">
        <v>55</v>
      </c>
      <c r="D15" s="25">
        <v>150</v>
      </c>
      <c r="E15" s="25">
        <v>15</v>
      </c>
      <c r="F15" s="25" t="s">
        <v>11</v>
      </c>
    </row>
    <row r="16" spans="1:12">
      <c r="A16" s="24" t="s">
        <v>56</v>
      </c>
      <c r="B16" s="24" t="s">
        <v>29</v>
      </c>
      <c r="C16" s="24" t="s">
        <v>58</v>
      </c>
      <c r="D16" s="24">
        <v>250</v>
      </c>
      <c r="E16" s="24">
        <v>20</v>
      </c>
      <c r="F16" s="24" t="s">
        <v>11</v>
      </c>
    </row>
    <row r="17" spans="1:6">
      <c r="A17" s="25" t="s">
        <v>59</v>
      </c>
      <c r="B17" s="25" t="s">
        <v>60</v>
      </c>
      <c r="C17" s="25" t="s">
        <v>61</v>
      </c>
      <c r="D17" s="25">
        <v>50</v>
      </c>
      <c r="E17" s="25">
        <v>35</v>
      </c>
      <c r="F17" s="25" t="s">
        <v>62</v>
      </c>
    </row>
    <row r="18" spans="1:6">
      <c r="A18" s="24" t="s">
        <v>63</v>
      </c>
      <c r="B18" s="24" t="s">
        <v>54</v>
      </c>
      <c r="C18" s="24" t="s">
        <v>64</v>
      </c>
      <c r="D18" s="24">
        <v>160</v>
      </c>
      <c r="E18" s="24">
        <v>15</v>
      </c>
      <c r="F18" s="24" t="s">
        <v>11</v>
      </c>
    </row>
    <row r="19" spans="1:6">
      <c r="A19" s="25" t="s">
        <v>65</v>
      </c>
      <c r="B19" s="25" t="s">
        <v>48</v>
      </c>
      <c r="C19" s="25" t="s">
        <v>66</v>
      </c>
      <c r="D19" s="25">
        <v>980</v>
      </c>
      <c r="E19" s="25">
        <v>10</v>
      </c>
      <c r="F19" s="25" t="s">
        <v>11</v>
      </c>
    </row>
    <row r="20" spans="1:6">
      <c r="A20" s="24" t="s">
        <v>67</v>
      </c>
      <c r="B20" s="24" t="s">
        <v>68</v>
      </c>
      <c r="C20" s="24" t="s">
        <v>69</v>
      </c>
      <c r="D20" s="24">
        <v>150</v>
      </c>
      <c r="E20" s="24">
        <v>15</v>
      </c>
      <c r="F20" s="24" t="s">
        <v>15</v>
      </c>
    </row>
    <row r="21" spans="1:6">
      <c r="A21" s="25" t="s">
        <v>70</v>
      </c>
      <c r="B21" s="25" t="s">
        <v>71</v>
      </c>
      <c r="C21" s="25" t="s">
        <v>72</v>
      </c>
      <c r="D21" s="25"/>
      <c r="E21" s="25">
        <v>10</v>
      </c>
      <c r="F21" s="25" t="s">
        <v>46</v>
      </c>
    </row>
    <row r="22" spans="1:6">
      <c r="A22" s="24" t="s">
        <v>73</v>
      </c>
      <c r="B22" s="24" t="s">
        <v>74</v>
      </c>
      <c r="C22" s="24" t="s">
        <v>75</v>
      </c>
      <c r="D22" s="24">
        <v>700</v>
      </c>
      <c r="E22" s="24">
        <v>50</v>
      </c>
      <c r="F22" s="24" t="s">
        <v>11</v>
      </c>
    </row>
    <row r="23" spans="1:6">
      <c r="A23" s="25" t="s">
        <v>76</v>
      </c>
      <c r="B23" s="25" t="s">
        <v>77</v>
      </c>
      <c r="C23" s="25" t="s">
        <v>78</v>
      </c>
      <c r="D23" s="25">
        <v>80</v>
      </c>
      <c r="E23" s="25">
        <v>20</v>
      </c>
      <c r="F23" s="25" t="s">
        <v>19</v>
      </c>
    </row>
    <row r="24" spans="1:6">
      <c r="A24" s="24" t="s">
        <v>79</v>
      </c>
      <c r="B24" s="24" t="s">
        <v>80</v>
      </c>
      <c r="C24" s="24" t="s">
        <v>81</v>
      </c>
      <c r="D24" s="24">
        <v>150</v>
      </c>
      <c r="E24" s="24">
        <v>30</v>
      </c>
      <c r="F24" s="24" t="s">
        <v>11</v>
      </c>
    </row>
    <row r="25" spans="1:6">
      <c r="A25" s="24" t="s">
        <v>82</v>
      </c>
      <c r="B25" s="24" t="s">
        <v>83</v>
      </c>
      <c r="C25" s="24" t="s">
        <v>84</v>
      </c>
      <c r="D25" s="24">
        <v>800</v>
      </c>
      <c r="E25" s="24">
        <v>45</v>
      </c>
      <c r="F25" s="24" t="s">
        <v>11</v>
      </c>
    </row>
    <row r="26" spans="1:6">
      <c r="A26" s="25" t="s">
        <v>85</v>
      </c>
      <c r="B26" s="25" t="s">
        <v>68</v>
      </c>
      <c r="C26" s="25" t="s">
        <v>86</v>
      </c>
      <c r="D26" s="25"/>
      <c r="E26" s="25">
        <v>25</v>
      </c>
      <c r="F26" s="25" t="s">
        <v>15</v>
      </c>
    </row>
    <row r="27" spans="1:6">
      <c r="A27" s="24" t="s">
        <v>87</v>
      </c>
      <c r="B27" s="24" t="s">
        <v>38</v>
      </c>
      <c r="C27" s="24" t="s">
        <v>88</v>
      </c>
      <c r="D27" s="24">
        <v>400</v>
      </c>
      <c r="E27" s="24">
        <v>40</v>
      </c>
      <c r="F27" s="24" t="s">
        <v>19</v>
      </c>
    </row>
    <row r="28" spans="1:6">
      <c r="A28" s="24" t="s">
        <v>89</v>
      </c>
      <c r="B28" s="24" t="s">
        <v>90</v>
      </c>
      <c r="C28" s="24" t="s">
        <v>91</v>
      </c>
      <c r="D28" s="24">
        <v>60</v>
      </c>
      <c r="E28" s="24">
        <v>30</v>
      </c>
      <c r="F28" s="24" t="s">
        <v>15</v>
      </c>
    </row>
    <row r="29" spans="1:6">
      <c r="A29" s="25" t="s">
        <v>92</v>
      </c>
      <c r="B29" s="25" t="s">
        <v>93</v>
      </c>
      <c r="C29" s="25" t="s">
        <v>94</v>
      </c>
      <c r="D29" s="25">
        <v>40</v>
      </c>
      <c r="E29" s="25">
        <v>10</v>
      </c>
      <c r="F29" s="25" t="s">
        <v>19</v>
      </c>
    </row>
    <row r="30" spans="1:6">
      <c r="A30" s="24" t="s">
        <v>95</v>
      </c>
      <c r="B30" s="24" t="s">
        <v>80</v>
      </c>
      <c r="C30" s="24" t="s">
        <v>96</v>
      </c>
      <c r="D30" s="24">
        <v>130</v>
      </c>
      <c r="E30" s="24">
        <v>5</v>
      </c>
      <c r="F30" s="24" t="s">
        <v>11</v>
      </c>
    </row>
    <row r="31" spans="1:6">
      <c r="A31" s="25" t="s">
        <v>97</v>
      </c>
      <c r="B31" s="25" t="s">
        <v>98</v>
      </c>
      <c r="C31" s="25" t="s">
        <v>99</v>
      </c>
      <c r="D31" s="25">
        <v>50</v>
      </c>
      <c r="E31" s="25">
        <v>50</v>
      </c>
      <c r="F31" s="25" t="s">
        <v>15</v>
      </c>
    </row>
    <row r="32" spans="1:6">
      <c r="A32" s="25" t="s">
        <v>100</v>
      </c>
      <c r="B32" s="25" t="s">
        <v>101</v>
      </c>
      <c r="C32" s="25" t="s">
        <v>102</v>
      </c>
      <c r="D32" s="25">
        <v>100</v>
      </c>
      <c r="E32" s="25">
        <v>20</v>
      </c>
      <c r="F32" s="25" t="s">
        <v>62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64FDF-D515-41A6-A99F-52249AE89DC4}">
  <dimension ref="A1:M32"/>
  <sheetViews>
    <sheetView workbookViewId="0">
      <selection activeCell="A13" sqref="A13"/>
    </sheetView>
  </sheetViews>
  <sheetFormatPr defaultRowHeight="15"/>
  <cols>
    <col min="1" max="1" width="12.42578125" bestFit="1" customWidth="1"/>
    <col min="2" max="2" width="15.42578125" bestFit="1" customWidth="1"/>
    <col min="3" max="3" width="13.42578125" bestFit="1" customWidth="1"/>
    <col min="4" max="4" width="9.7109375" bestFit="1" customWidth="1"/>
    <col min="5" max="5" width="10" bestFit="1" customWidth="1"/>
    <col min="6" max="6" width="12.42578125" bestFit="1" customWidth="1"/>
    <col min="7" max="7" width="18.7109375" customWidth="1"/>
    <col min="8" max="8" width="14.140625" customWidth="1"/>
    <col min="9" max="9" width="22.140625" customWidth="1"/>
    <col min="13" max="13" width="82.7109375" bestFit="1" customWidth="1"/>
  </cols>
  <sheetData>
    <row r="1" spans="1:1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7" t="s">
        <v>5</v>
      </c>
      <c r="G1" s="31" t="s">
        <v>116</v>
      </c>
      <c r="H1" s="31" t="s">
        <v>117</v>
      </c>
      <c r="I1" s="31" t="s">
        <v>118</v>
      </c>
    </row>
    <row r="2" spans="1:13">
      <c r="A2" s="24" t="s">
        <v>8</v>
      </c>
      <c r="B2" s="24" t="s">
        <v>48</v>
      </c>
      <c r="C2" s="24" t="s">
        <v>10</v>
      </c>
      <c r="D2" s="24">
        <v>1000</v>
      </c>
      <c r="E2" s="24">
        <v>30</v>
      </c>
      <c r="F2" s="28" t="s">
        <v>11</v>
      </c>
      <c r="G2" s="33" t="str">
        <f>LEFT(A2,6)</f>
        <v>28-JAN</v>
      </c>
      <c r="H2" s="21" t="str">
        <f>RIGHT(A2,2)</f>
        <v>US</v>
      </c>
      <c r="I2" s="21" t="str">
        <f>CONCATENATE(B2," ",C2)</f>
        <v>Laptop Dell</v>
      </c>
    </row>
    <row r="3" spans="1:13">
      <c r="A3" s="25" t="s">
        <v>12</v>
      </c>
      <c r="B3" s="25" t="s">
        <v>13</v>
      </c>
      <c r="C3" s="25" t="s">
        <v>14</v>
      </c>
      <c r="D3" s="25">
        <v>80</v>
      </c>
      <c r="E3" s="25">
        <v>15</v>
      </c>
      <c r="F3" s="29" t="s">
        <v>15</v>
      </c>
      <c r="G3" s="32" t="str">
        <f t="shared" ref="G3:G32" si="0">LEFT(A3,6)</f>
        <v>15-FEB</v>
      </c>
      <c r="H3" s="21" t="str">
        <f t="shared" ref="H3:H32" si="1">RIGHT(A3,2)</f>
        <v>US</v>
      </c>
      <c r="I3" s="21" t="str">
        <f t="shared" ref="I3:I32" si="2">CONCATENATE(B3," ",C3)</f>
        <v>Sneakers Nike</v>
      </c>
    </row>
    <row r="4" spans="1:13">
      <c r="A4" s="24" t="s">
        <v>16</v>
      </c>
      <c r="B4" s="24" t="s">
        <v>17</v>
      </c>
      <c r="C4" s="24" t="s">
        <v>18</v>
      </c>
      <c r="D4" s="24">
        <v>130</v>
      </c>
      <c r="E4" s="24">
        <v>40</v>
      </c>
      <c r="F4" s="28" t="s">
        <v>19</v>
      </c>
      <c r="G4" s="32" t="str">
        <f t="shared" si="0"/>
        <v>03-MAR</v>
      </c>
      <c r="H4" s="21" t="str">
        <f t="shared" si="1"/>
        <v>US</v>
      </c>
      <c r="I4" s="21" t="str">
        <f t="shared" si="2"/>
        <v>Coffee Maker Keurig</v>
      </c>
    </row>
    <row r="5" spans="1:13">
      <c r="A5" s="25" t="s">
        <v>20</v>
      </c>
      <c r="B5" s="25" t="s">
        <v>83</v>
      </c>
      <c r="C5" s="25" t="s">
        <v>22</v>
      </c>
      <c r="D5" s="25">
        <v>900</v>
      </c>
      <c r="E5" s="25">
        <v>25</v>
      </c>
      <c r="F5" s="29" t="s">
        <v>11</v>
      </c>
      <c r="G5" s="32" t="str">
        <f t="shared" si="0"/>
        <v>11-APR</v>
      </c>
      <c r="H5" s="21" t="str">
        <f t="shared" si="1"/>
        <v>US</v>
      </c>
      <c r="I5" s="21" t="str">
        <f t="shared" si="2"/>
        <v>Smartphone Samsung</v>
      </c>
    </row>
    <row r="6" spans="1:13">
      <c r="A6" s="26" t="s">
        <v>24</v>
      </c>
      <c r="B6" s="26" t="s">
        <v>25</v>
      </c>
      <c r="C6" s="26" t="s">
        <v>26</v>
      </c>
      <c r="D6" s="26">
        <v>70</v>
      </c>
      <c r="E6" s="26">
        <v>20</v>
      </c>
      <c r="F6" s="30" t="s">
        <v>62</v>
      </c>
      <c r="G6" s="32" t="str">
        <f t="shared" si="0"/>
        <v>22-MAY</v>
      </c>
      <c r="H6" s="21" t="str">
        <f t="shared" si="1"/>
        <v>US</v>
      </c>
      <c r="I6" s="21" t="str">
        <f t="shared" si="2"/>
        <v>Backpack North Face</v>
      </c>
    </row>
    <row r="7" spans="1:13" ht="15.75">
      <c r="A7" s="25" t="s">
        <v>28</v>
      </c>
      <c r="B7" s="25" t="s">
        <v>29</v>
      </c>
      <c r="C7" s="25" t="s">
        <v>30</v>
      </c>
      <c r="D7" s="25"/>
      <c r="E7" s="25">
        <v>45</v>
      </c>
      <c r="F7" s="29" t="s">
        <v>11</v>
      </c>
      <c r="G7" s="32" t="str">
        <f t="shared" si="0"/>
        <v>07-JUN</v>
      </c>
      <c r="H7" s="21" t="str">
        <f t="shared" si="1"/>
        <v>UK</v>
      </c>
      <c r="I7" s="21" t="str">
        <f t="shared" si="2"/>
        <v>Headphones Sony</v>
      </c>
      <c r="M7" s="4" t="s">
        <v>119</v>
      </c>
    </row>
    <row r="8" spans="1:13" ht="15.75">
      <c r="A8" s="24" t="s">
        <v>33</v>
      </c>
      <c r="B8" s="24" t="s">
        <v>34</v>
      </c>
      <c r="C8" s="24" t="s">
        <v>35</v>
      </c>
      <c r="D8" s="24">
        <v>30</v>
      </c>
      <c r="E8" s="24">
        <v>5</v>
      </c>
      <c r="F8" s="28" t="s">
        <v>15</v>
      </c>
      <c r="G8" s="32" t="str">
        <f t="shared" si="0"/>
        <v>19-JUL</v>
      </c>
      <c r="H8" s="21" t="str">
        <f t="shared" si="1"/>
        <v>UK</v>
      </c>
      <c r="I8" s="21" t="str">
        <f t="shared" si="2"/>
        <v>T-shirt Adidas</v>
      </c>
      <c r="M8" s="5" t="s">
        <v>120</v>
      </c>
    </row>
    <row r="9" spans="1:13" ht="15.75">
      <c r="A9" s="25" t="s">
        <v>37</v>
      </c>
      <c r="B9" s="25" t="s">
        <v>38</v>
      </c>
      <c r="C9" s="25" t="s">
        <v>39</v>
      </c>
      <c r="D9" s="25">
        <v>90</v>
      </c>
      <c r="E9" s="25">
        <v>35</v>
      </c>
      <c r="F9" s="29" t="s">
        <v>19</v>
      </c>
      <c r="G9" s="32" t="str">
        <f t="shared" si="0"/>
        <v>23-AUG</v>
      </c>
      <c r="H9" s="21" t="str">
        <f t="shared" si="1"/>
        <v>UK</v>
      </c>
      <c r="I9" s="21" t="str">
        <f t="shared" si="2"/>
        <v>Blender Ninja</v>
      </c>
      <c r="M9" s="6" t="s">
        <v>121</v>
      </c>
    </row>
    <row r="10" spans="1:13" ht="15.75">
      <c r="A10" s="24" t="s">
        <v>40</v>
      </c>
      <c r="B10" s="24" t="s">
        <v>41</v>
      </c>
      <c r="C10" s="24" t="s">
        <v>42</v>
      </c>
      <c r="D10" s="24">
        <v>500</v>
      </c>
      <c r="E10" s="24">
        <v>50</v>
      </c>
      <c r="F10" s="28" t="s">
        <v>11</v>
      </c>
      <c r="G10" s="32" t="str">
        <f t="shared" si="0"/>
        <v>05-SEP</v>
      </c>
      <c r="H10" s="21" t="str">
        <f t="shared" si="1"/>
        <v>UK</v>
      </c>
      <c r="I10" s="21" t="str">
        <f t="shared" si="2"/>
        <v>Tablet Apple</v>
      </c>
      <c r="M10" s="5" t="s">
        <v>122</v>
      </c>
    </row>
    <row r="11" spans="1:13" ht="15.75">
      <c r="A11" s="25" t="s">
        <v>43</v>
      </c>
      <c r="B11" s="25" t="s">
        <v>44</v>
      </c>
      <c r="C11" s="25" t="s">
        <v>45</v>
      </c>
      <c r="D11" s="25">
        <v>130</v>
      </c>
      <c r="E11" s="25">
        <v>10</v>
      </c>
      <c r="F11" s="29" t="s">
        <v>46</v>
      </c>
      <c r="G11" s="32" t="str">
        <f t="shared" si="0"/>
        <v>14-OCT</v>
      </c>
      <c r="H11" s="21" t="str">
        <f t="shared" si="1"/>
        <v>UK</v>
      </c>
      <c r="I11" s="21" t="str">
        <f t="shared" si="2"/>
        <v>Hiking Boots Timberland</v>
      </c>
      <c r="M11" s="6" t="s">
        <v>123</v>
      </c>
    </row>
    <row r="12" spans="1:13">
      <c r="A12" s="24" t="s">
        <v>47</v>
      </c>
      <c r="B12" s="24" t="s">
        <v>48</v>
      </c>
      <c r="C12" s="24" t="s">
        <v>49</v>
      </c>
      <c r="D12" s="24">
        <v>950</v>
      </c>
      <c r="E12" s="24">
        <v>25</v>
      </c>
      <c r="F12" s="28" t="s">
        <v>11</v>
      </c>
      <c r="G12" s="32" t="str">
        <f t="shared" si="0"/>
        <v>17-JUN</v>
      </c>
      <c r="H12" s="21" t="str">
        <f t="shared" si="1"/>
        <v>IN</v>
      </c>
      <c r="I12" s="21" t="str">
        <f t="shared" si="2"/>
        <v>Laptop HP</v>
      </c>
    </row>
    <row r="13" spans="1:13">
      <c r="A13" s="25" t="s">
        <v>50</v>
      </c>
      <c r="B13" s="25" t="s">
        <v>13</v>
      </c>
      <c r="C13" s="25" t="s">
        <v>35</v>
      </c>
      <c r="D13" s="25">
        <v>90</v>
      </c>
      <c r="E13" s="25">
        <v>40</v>
      </c>
      <c r="F13" s="29" t="s">
        <v>15</v>
      </c>
      <c r="G13" s="32" t="str">
        <f t="shared" si="0"/>
        <v>25-NOV</v>
      </c>
      <c r="H13" s="21" t="str">
        <f t="shared" si="1"/>
        <v>AU</v>
      </c>
      <c r="I13" s="21" t="str">
        <f t="shared" si="2"/>
        <v>Sneakers Adidas</v>
      </c>
      <c r="M13" s="17" t="s">
        <v>124</v>
      </c>
    </row>
    <row r="14" spans="1:13">
      <c r="A14" s="24" t="s">
        <v>51</v>
      </c>
      <c r="B14" s="24" t="s">
        <v>17</v>
      </c>
      <c r="C14" s="24" t="s">
        <v>52</v>
      </c>
      <c r="D14" s="24">
        <v>120</v>
      </c>
      <c r="E14" s="24">
        <v>35</v>
      </c>
      <c r="F14" s="28" t="s">
        <v>19</v>
      </c>
      <c r="G14" s="32" t="str">
        <f t="shared" si="0"/>
        <v>08-DEC</v>
      </c>
      <c r="H14" s="21" t="str">
        <f t="shared" si="1"/>
        <v>DE</v>
      </c>
      <c r="I14" s="21" t="str">
        <f t="shared" si="2"/>
        <v>Coffee Maker Nespresso</v>
      </c>
    </row>
    <row r="15" spans="1:13">
      <c r="A15" s="25" t="s">
        <v>53</v>
      </c>
      <c r="B15" s="25" t="s">
        <v>54</v>
      </c>
      <c r="C15" s="25" t="s">
        <v>55</v>
      </c>
      <c r="D15" s="25">
        <v>150</v>
      </c>
      <c r="E15" s="25">
        <v>15</v>
      </c>
      <c r="F15" s="29" t="s">
        <v>11</v>
      </c>
      <c r="G15" s="32" t="str">
        <f t="shared" si="0"/>
        <v>18-FEB</v>
      </c>
      <c r="H15" s="21" t="str">
        <f t="shared" si="1"/>
        <v>CA</v>
      </c>
      <c r="I15" s="21" t="str">
        <f t="shared" si="2"/>
        <v>Smartwatch Fitbit</v>
      </c>
    </row>
    <row r="16" spans="1:13">
      <c r="A16" s="24" t="s">
        <v>56</v>
      </c>
      <c r="B16" s="24" t="s">
        <v>29</v>
      </c>
      <c r="C16" s="24" t="s">
        <v>58</v>
      </c>
      <c r="D16" s="24">
        <v>250</v>
      </c>
      <c r="E16" s="24">
        <v>20</v>
      </c>
      <c r="F16" s="28" t="s">
        <v>11</v>
      </c>
      <c r="G16" s="32" t="str">
        <f t="shared" si="0"/>
        <v>16-APR</v>
      </c>
      <c r="H16" s="21" t="str">
        <f t="shared" si="1"/>
        <v>ES</v>
      </c>
      <c r="I16" s="21" t="str">
        <f t="shared" si="2"/>
        <v>Headphones Bose</v>
      </c>
      <c r="M16" s="13"/>
    </row>
    <row r="17" spans="1:9">
      <c r="A17" s="25" t="s">
        <v>59</v>
      </c>
      <c r="B17" s="25" t="s">
        <v>60</v>
      </c>
      <c r="C17" s="25" t="s">
        <v>61</v>
      </c>
      <c r="D17" s="25">
        <v>50</v>
      </c>
      <c r="E17" s="25">
        <v>35</v>
      </c>
      <c r="F17" s="29" t="s">
        <v>62</v>
      </c>
      <c r="G17" s="32" t="str">
        <f t="shared" si="0"/>
        <v>21-AUG</v>
      </c>
      <c r="H17" s="21" t="str">
        <f t="shared" si="1"/>
        <v>CA</v>
      </c>
      <c r="I17" s="21" t="str">
        <f t="shared" si="2"/>
        <v>Laptop Bag Samsonite</v>
      </c>
    </row>
    <row r="18" spans="1:9">
      <c r="A18" s="24" t="s">
        <v>63</v>
      </c>
      <c r="B18" s="24" t="s">
        <v>54</v>
      </c>
      <c r="C18" s="24" t="s">
        <v>64</v>
      </c>
      <c r="D18" s="24">
        <v>160</v>
      </c>
      <c r="E18" s="24">
        <v>15</v>
      </c>
      <c r="F18" s="28" t="s">
        <v>11</v>
      </c>
      <c r="G18" s="32" t="str">
        <f t="shared" si="0"/>
        <v>20-AUG</v>
      </c>
      <c r="H18" s="21" t="str">
        <f t="shared" si="1"/>
        <v>CN</v>
      </c>
      <c r="I18" s="21" t="str">
        <f t="shared" si="2"/>
        <v>Smartwatch Huawei</v>
      </c>
    </row>
    <row r="19" spans="1:9">
      <c r="A19" s="25" t="s">
        <v>65</v>
      </c>
      <c r="B19" s="25" t="s">
        <v>48</v>
      </c>
      <c r="C19" s="25" t="s">
        <v>66</v>
      </c>
      <c r="D19" s="25">
        <v>980</v>
      </c>
      <c r="E19" s="25">
        <v>10</v>
      </c>
      <c r="F19" s="29" t="s">
        <v>11</v>
      </c>
      <c r="G19" s="32" t="str">
        <f t="shared" si="0"/>
        <v>27-JAN</v>
      </c>
      <c r="H19" s="21" t="str">
        <f t="shared" si="1"/>
        <v>IT</v>
      </c>
      <c r="I19" s="21" t="str">
        <f t="shared" si="2"/>
        <v>Laptop Asus</v>
      </c>
    </row>
    <row r="20" spans="1:9">
      <c r="A20" s="24" t="s">
        <v>67</v>
      </c>
      <c r="B20" s="24" t="s">
        <v>68</v>
      </c>
      <c r="C20" s="24" t="s">
        <v>69</v>
      </c>
      <c r="D20" s="24">
        <v>150</v>
      </c>
      <c r="E20" s="24">
        <v>15</v>
      </c>
      <c r="F20" s="28" t="s">
        <v>15</v>
      </c>
      <c r="G20" s="32" t="str">
        <f t="shared" si="0"/>
        <v>01-MAR</v>
      </c>
      <c r="H20" s="21" t="str">
        <f t="shared" si="1"/>
        <v>UK</v>
      </c>
      <c r="I20" s="21" t="str">
        <f t="shared" si="2"/>
        <v>Sunglasses Oakley</v>
      </c>
    </row>
    <row r="21" spans="1:9">
      <c r="A21" s="25" t="s">
        <v>70</v>
      </c>
      <c r="B21" s="25" t="s">
        <v>71</v>
      </c>
      <c r="C21" s="25" t="s">
        <v>72</v>
      </c>
      <c r="D21" s="25"/>
      <c r="E21" s="25">
        <v>10</v>
      </c>
      <c r="F21" s="29" t="s">
        <v>46</v>
      </c>
      <c r="G21" s="32" t="str">
        <f t="shared" si="0"/>
        <v>14-AUG</v>
      </c>
      <c r="H21" s="21" t="str">
        <f t="shared" si="1"/>
        <v>US</v>
      </c>
      <c r="I21" s="21" t="str">
        <f t="shared" si="2"/>
        <v>Camping Tent Coleman</v>
      </c>
    </row>
    <row r="22" spans="1:9">
      <c r="A22" s="24" t="s">
        <v>73</v>
      </c>
      <c r="B22" s="24" t="s">
        <v>74</v>
      </c>
      <c r="C22" s="24" t="s">
        <v>75</v>
      </c>
      <c r="D22" s="24">
        <v>700</v>
      </c>
      <c r="E22" s="24">
        <v>50</v>
      </c>
      <c r="F22" s="28" t="s">
        <v>11</v>
      </c>
      <c r="G22" s="32" t="str">
        <f t="shared" si="0"/>
        <v>14-MAY</v>
      </c>
      <c r="H22" s="21" t="str">
        <f t="shared" si="1"/>
        <v>RU</v>
      </c>
      <c r="I22" s="21" t="str">
        <f t="shared" si="2"/>
        <v>Camera Nikon</v>
      </c>
    </row>
    <row r="23" spans="1:9">
      <c r="A23" s="25" t="s">
        <v>76</v>
      </c>
      <c r="B23" s="25" t="s">
        <v>77</v>
      </c>
      <c r="C23" s="25" t="s">
        <v>78</v>
      </c>
      <c r="D23" s="25">
        <v>80</v>
      </c>
      <c r="E23" s="25">
        <v>20</v>
      </c>
      <c r="F23" s="29" t="s">
        <v>19</v>
      </c>
      <c r="G23" s="32" t="str">
        <f t="shared" si="0"/>
        <v>09-JAN</v>
      </c>
      <c r="H23" s="21" t="str">
        <f t="shared" si="1"/>
        <v>CA</v>
      </c>
      <c r="I23" s="21" t="str">
        <f t="shared" si="2"/>
        <v>Microwave Panasonic</v>
      </c>
    </row>
    <row r="24" spans="1:9">
      <c r="A24" s="24" t="s">
        <v>79</v>
      </c>
      <c r="B24" s="24" t="s">
        <v>80</v>
      </c>
      <c r="C24" s="24" t="s">
        <v>81</v>
      </c>
      <c r="D24" s="24">
        <v>150</v>
      </c>
      <c r="E24" s="24">
        <v>30</v>
      </c>
      <c r="F24" s="28" t="s">
        <v>11</v>
      </c>
      <c r="G24" s="32" t="str">
        <f t="shared" si="0"/>
        <v>19-JUL</v>
      </c>
      <c r="H24" s="21" t="str">
        <f t="shared" si="1"/>
        <v>BR</v>
      </c>
      <c r="I24" s="21" t="str">
        <f t="shared" si="2"/>
        <v>Fitness Tracker Xiaomi</v>
      </c>
    </row>
    <row r="25" spans="1:9">
      <c r="A25" s="24" t="s">
        <v>82</v>
      </c>
      <c r="B25" s="24" t="s">
        <v>83</v>
      </c>
      <c r="C25" s="24" t="s">
        <v>84</v>
      </c>
      <c r="D25" s="24">
        <v>800</v>
      </c>
      <c r="E25" s="24">
        <v>45</v>
      </c>
      <c r="F25" s="28" t="s">
        <v>11</v>
      </c>
      <c r="G25" s="32" t="str">
        <f t="shared" si="0"/>
        <v>29-SEP</v>
      </c>
      <c r="H25" s="21" t="str">
        <f t="shared" si="1"/>
        <v>CA</v>
      </c>
      <c r="I25" s="21" t="str">
        <f t="shared" si="2"/>
        <v>Smartphone Google</v>
      </c>
    </row>
    <row r="26" spans="1:9">
      <c r="A26" s="25" t="s">
        <v>85</v>
      </c>
      <c r="B26" s="25" t="s">
        <v>68</v>
      </c>
      <c r="C26" s="25" t="s">
        <v>86</v>
      </c>
      <c r="D26" s="25"/>
      <c r="E26" s="25">
        <v>25</v>
      </c>
      <c r="F26" s="29" t="s">
        <v>15</v>
      </c>
      <c r="G26" s="32" t="str">
        <f t="shared" si="0"/>
        <v>03-JUN</v>
      </c>
      <c r="H26" s="21" t="str">
        <f t="shared" si="1"/>
        <v>CA</v>
      </c>
      <c r="I26" s="21" t="str">
        <f t="shared" si="2"/>
        <v>Sunglasses Ray-Ban</v>
      </c>
    </row>
    <row r="27" spans="1:9">
      <c r="A27" s="24" t="s">
        <v>87</v>
      </c>
      <c r="B27" s="24" t="s">
        <v>38</v>
      </c>
      <c r="C27" s="24" t="s">
        <v>88</v>
      </c>
      <c r="D27" s="24">
        <v>400</v>
      </c>
      <c r="E27" s="24">
        <v>40</v>
      </c>
      <c r="F27" s="28" t="s">
        <v>19</v>
      </c>
      <c r="G27" s="32" t="str">
        <f t="shared" si="0"/>
        <v>11-JUL</v>
      </c>
      <c r="H27" s="21" t="str">
        <f t="shared" si="1"/>
        <v>CA</v>
      </c>
      <c r="I27" s="21" t="str">
        <f t="shared" si="2"/>
        <v>Blender Vitamix</v>
      </c>
    </row>
    <row r="28" spans="1:9">
      <c r="A28" s="24" t="s">
        <v>89</v>
      </c>
      <c r="B28" s="24" t="s">
        <v>90</v>
      </c>
      <c r="C28" s="24" t="s">
        <v>91</v>
      </c>
      <c r="D28" s="24">
        <v>60</v>
      </c>
      <c r="E28" s="24">
        <v>30</v>
      </c>
      <c r="F28" s="28" t="s">
        <v>15</v>
      </c>
      <c r="G28" s="32" t="str">
        <f t="shared" si="0"/>
        <v>07-MAR</v>
      </c>
      <c r="H28" s="21" t="str">
        <f t="shared" si="1"/>
        <v>CA</v>
      </c>
      <c r="I28" s="21" t="str">
        <f t="shared" si="2"/>
        <v>Dress Zara</v>
      </c>
    </row>
    <row r="29" spans="1:9">
      <c r="A29" s="25" t="s">
        <v>92</v>
      </c>
      <c r="B29" s="25" t="s">
        <v>93</v>
      </c>
      <c r="C29" s="25" t="s">
        <v>94</v>
      </c>
      <c r="D29" s="25">
        <v>40</v>
      </c>
      <c r="E29" s="25">
        <v>10</v>
      </c>
      <c r="F29" s="29" t="s">
        <v>19</v>
      </c>
      <c r="G29" s="32" t="str">
        <f t="shared" si="0"/>
        <v>13-APR</v>
      </c>
      <c r="H29" s="21" t="str">
        <f t="shared" si="1"/>
        <v>CA</v>
      </c>
      <c r="I29" s="21" t="str">
        <f t="shared" si="2"/>
        <v>Toaster Hamilton</v>
      </c>
    </row>
    <row r="30" spans="1:9">
      <c r="A30" s="24" t="s">
        <v>95</v>
      </c>
      <c r="B30" s="24" t="s">
        <v>80</v>
      </c>
      <c r="C30" s="24" t="s">
        <v>96</v>
      </c>
      <c r="D30" s="24">
        <v>130</v>
      </c>
      <c r="E30" s="24">
        <v>5</v>
      </c>
      <c r="F30" s="28" t="s">
        <v>11</v>
      </c>
      <c r="G30" s="32" t="str">
        <f t="shared" si="0"/>
        <v>24-MAY</v>
      </c>
      <c r="H30" s="21" t="str">
        <f t="shared" si="1"/>
        <v>CA</v>
      </c>
      <c r="I30" s="21" t="str">
        <f t="shared" si="2"/>
        <v>Fitness Tracker Garmin</v>
      </c>
    </row>
    <row r="31" spans="1:9">
      <c r="A31" s="25" t="s">
        <v>97</v>
      </c>
      <c r="B31" s="25" t="s">
        <v>98</v>
      </c>
      <c r="C31" s="25" t="s">
        <v>99</v>
      </c>
      <c r="D31" s="25">
        <v>50</v>
      </c>
      <c r="E31" s="25">
        <v>50</v>
      </c>
      <c r="F31" s="29" t="s">
        <v>15</v>
      </c>
      <c r="G31" s="32" t="str">
        <f t="shared" si="0"/>
        <v>02-DEC</v>
      </c>
      <c r="H31" s="21" t="str">
        <f t="shared" si="1"/>
        <v>CA</v>
      </c>
      <c r="I31" s="21" t="str">
        <f t="shared" si="2"/>
        <v>Jeans Levi's</v>
      </c>
    </row>
    <row r="32" spans="1:9">
      <c r="A32" s="25" t="s">
        <v>100</v>
      </c>
      <c r="B32" s="25" t="s">
        <v>101</v>
      </c>
      <c r="C32" s="25" t="s">
        <v>102</v>
      </c>
      <c r="D32" s="25">
        <v>100</v>
      </c>
      <c r="E32" s="25">
        <v>20</v>
      </c>
      <c r="F32" s="29" t="s">
        <v>62</v>
      </c>
      <c r="G32" s="32" t="str">
        <f t="shared" si="0"/>
        <v>09-JUL</v>
      </c>
      <c r="H32" s="21" t="str">
        <f t="shared" si="1"/>
        <v>FR</v>
      </c>
      <c r="I32" s="21" t="str">
        <f t="shared" si="2"/>
        <v>Watch Casio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62B34-58C1-4090-8B35-4658CBDDEBA2}">
  <dimension ref="A1:N35"/>
  <sheetViews>
    <sheetView topLeftCell="B1" workbookViewId="0">
      <selection activeCell="N12" sqref="N12"/>
    </sheetView>
  </sheetViews>
  <sheetFormatPr defaultRowHeight="15"/>
  <cols>
    <col min="1" max="1" width="11.85546875" customWidth="1"/>
    <col min="2" max="2" width="14.140625" bestFit="1" customWidth="1"/>
    <col min="3" max="3" width="12.140625" bestFit="1" customWidth="1"/>
    <col min="6" max="6" width="11.140625" bestFit="1" customWidth="1"/>
    <col min="7" max="7" width="20.42578125" customWidth="1"/>
    <col min="8" max="8" width="17.85546875" customWidth="1"/>
    <col min="9" max="9" width="11.140625" bestFit="1" customWidth="1"/>
    <col min="14" max="14" width="80.5703125" bestFit="1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4" t="s">
        <v>5</v>
      </c>
      <c r="G1" s="35" t="s">
        <v>125</v>
      </c>
      <c r="H1" s="35" t="s">
        <v>126</v>
      </c>
      <c r="I1" s="37" t="s">
        <v>127</v>
      </c>
    </row>
    <row r="2" spans="1:14">
      <c r="A2" s="1" t="s">
        <v>8</v>
      </c>
      <c r="B2" s="1" t="s">
        <v>9</v>
      </c>
      <c r="C2" s="1" t="s">
        <v>10</v>
      </c>
      <c r="D2" s="1">
        <v>1000</v>
      </c>
      <c r="E2" s="1">
        <v>30</v>
      </c>
      <c r="F2" s="19" t="s">
        <v>11</v>
      </c>
      <c r="G2" s="36">
        <v>1000</v>
      </c>
      <c r="H2" s="39" t="str">
        <f>LEFT(A2,6)</f>
        <v>28-JAN</v>
      </c>
      <c r="I2" s="38">
        <f>DATE(2026,MONTH(H2),DAY(H2))</f>
        <v>46050</v>
      </c>
    </row>
    <row r="3" spans="1:14">
      <c r="A3" s="2" t="s">
        <v>12</v>
      </c>
      <c r="B3" s="2" t="s">
        <v>13</v>
      </c>
      <c r="C3" s="2" t="s">
        <v>14</v>
      </c>
      <c r="D3" s="2">
        <v>80</v>
      </c>
      <c r="E3" s="2">
        <v>15</v>
      </c>
      <c r="F3" s="20" t="s">
        <v>15</v>
      </c>
      <c r="G3" s="36">
        <v>80</v>
      </c>
      <c r="H3" s="39" t="str">
        <f t="shared" ref="H3:H35" si="0">LEFT(A3,6)</f>
        <v>15-FEB</v>
      </c>
      <c r="I3" s="38">
        <f t="shared" ref="I3:I35" si="1">DATE(2026,MONTH(H3),DAY(H3))</f>
        <v>46068</v>
      </c>
    </row>
    <row r="4" spans="1:14">
      <c r="A4" s="1" t="s">
        <v>16</v>
      </c>
      <c r="B4" s="1" t="s">
        <v>17</v>
      </c>
      <c r="C4" s="1" t="s">
        <v>18</v>
      </c>
      <c r="D4" s="1">
        <v>130</v>
      </c>
      <c r="E4" s="1">
        <v>40</v>
      </c>
      <c r="F4" s="19" t="s">
        <v>19</v>
      </c>
      <c r="G4" s="36">
        <v>130</v>
      </c>
      <c r="H4" s="39" t="str">
        <f t="shared" si="0"/>
        <v>03-MAR</v>
      </c>
      <c r="I4" s="38">
        <f t="shared" si="1"/>
        <v>46084</v>
      </c>
    </row>
    <row r="5" spans="1:14">
      <c r="A5" s="2" t="s">
        <v>20</v>
      </c>
      <c r="B5" s="2" t="s">
        <v>21</v>
      </c>
      <c r="C5" s="2" t="s">
        <v>22</v>
      </c>
      <c r="D5" s="2">
        <v>900</v>
      </c>
      <c r="E5" s="2">
        <v>25</v>
      </c>
      <c r="F5" s="20" t="s">
        <v>11</v>
      </c>
      <c r="G5" s="36">
        <v>900</v>
      </c>
      <c r="H5" s="39" t="str">
        <f t="shared" si="0"/>
        <v>11-APR</v>
      </c>
      <c r="I5" s="38">
        <f t="shared" si="1"/>
        <v>46123</v>
      </c>
    </row>
    <row r="6" spans="1:14">
      <c r="A6" s="1" t="s">
        <v>24</v>
      </c>
      <c r="B6" s="1" t="s">
        <v>25</v>
      </c>
      <c r="C6" s="1" t="s">
        <v>26</v>
      </c>
      <c r="D6" s="1">
        <v>70</v>
      </c>
      <c r="E6" s="1">
        <v>20</v>
      </c>
      <c r="F6" s="19"/>
      <c r="G6" s="36">
        <v>70</v>
      </c>
      <c r="H6" s="39" t="str">
        <f t="shared" si="0"/>
        <v>22-MAY</v>
      </c>
      <c r="I6" s="38">
        <f t="shared" si="1"/>
        <v>46164</v>
      </c>
    </row>
    <row r="7" spans="1:14" ht="15.75">
      <c r="A7" s="2" t="s">
        <v>28</v>
      </c>
      <c r="B7" s="2" t="s">
        <v>29</v>
      </c>
      <c r="C7" s="2" t="s">
        <v>30</v>
      </c>
      <c r="D7" s="2"/>
      <c r="E7" s="2">
        <v>45</v>
      </c>
      <c r="F7" s="20" t="s">
        <v>31</v>
      </c>
      <c r="G7" s="36">
        <v>309</v>
      </c>
      <c r="H7" s="39" t="str">
        <f t="shared" si="0"/>
        <v>07-JUN</v>
      </c>
      <c r="I7" s="38">
        <f t="shared" si="1"/>
        <v>46180</v>
      </c>
      <c r="N7" s="14" t="s">
        <v>128</v>
      </c>
    </row>
    <row r="8" spans="1:14" ht="15.75">
      <c r="A8" s="1" t="s">
        <v>33</v>
      </c>
      <c r="B8" s="1" t="s">
        <v>34</v>
      </c>
      <c r="C8" s="1" t="s">
        <v>35</v>
      </c>
      <c r="D8" s="1">
        <v>30</v>
      </c>
      <c r="E8" s="1">
        <v>5</v>
      </c>
      <c r="F8" s="19" t="s">
        <v>15</v>
      </c>
      <c r="G8" s="36">
        <v>30</v>
      </c>
      <c r="H8" s="39" t="str">
        <f t="shared" si="0"/>
        <v>19-JUL</v>
      </c>
      <c r="I8" s="38">
        <f t="shared" si="1"/>
        <v>46222</v>
      </c>
      <c r="N8" s="15" t="s">
        <v>129</v>
      </c>
    </row>
    <row r="9" spans="1:14" ht="15.75">
      <c r="A9" s="2" t="s">
        <v>37</v>
      </c>
      <c r="B9" s="2" t="s">
        <v>38</v>
      </c>
      <c r="C9" s="2" t="s">
        <v>39</v>
      </c>
      <c r="D9" s="2">
        <v>90</v>
      </c>
      <c r="E9" s="2">
        <v>35</v>
      </c>
      <c r="F9" s="20" t="s">
        <v>19</v>
      </c>
      <c r="G9" s="36">
        <v>90</v>
      </c>
      <c r="H9" s="39" t="str">
        <f t="shared" si="0"/>
        <v>23-AUG</v>
      </c>
      <c r="I9" s="38">
        <f t="shared" si="1"/>
        <v>46257</v>
      </c>
      <c r="N9" s="15" t="s">
        <v>130</v>
      </c>
    </row>
    <row r="10" spans="1:14" ht="15.75">
      <c r="A10" s="1" t="s">
        <v>40</v>
      </c>
      <c r="B10" s="1" t="s">
        <v>41</v>
      </c>
      <c r="C10" s="1" t="s">
        <v>42</v>
      </c>
      <c r="D10" s="1">
        <v>500</v>
      </c>
      <c r="E10" s="1">
        <v>50</v>
      </c>
      <c r="F10" s="19" t="s">
        <v>11</v>
      </c>
      <c r="G10" s="36">
        <v>500</v>
      </c>
      <c r="H10" s="39" t="str">
        <f t="shared" si="0"/>
        <v>05-SEP</v>
      </c>
      <c r="I10" s="38">
        <f t="shared" si="1"/>
        <v>46270</v>
      </c>
      <c r="N10" s="16" t="s">
        <v>131</v>
      </c>
    </row>
    <row r="11" spans="1:14">
      <c r="A11" s="2" t="s">
        <v>43</v>
      </c>
      <c r="B11" s="2" t="s">
        <v>44</v>
      </c>
      <c r="C11" s="2" t="s">
        <v>45</v>
      </c>
      <c r="D11" s="2">
        <v>130</v>
      </c>
      <c r="E11" s="2">
        <v>10</v>
      </c>
      <c r="F11" s="20" t="s">
        <v>46</v>
      </c>
      <c r="G11" s="36">
        <v>130</v>
      </c>
      <c r="H11" s="39" t="str">
        <f t="shared" si="0"/>
        <v>14-OCT</v>
      </c>
      <c r="I11" s="38">
        <f t="shared" si="1"/>
        <v>46309</v>
      </c>
    </row>
    <row r="12" spans="1:14">
      <c r="A12" s="1" t="s">
        <v>47</v>
      </c>
      <c r="B12" s="1" t="s">
        <v>48</v>
      </c>
      <c r="C12" s="1" t="s">
        <v>49</v>
      </c>
      <c r="D12" s="1">
        <v>950</v>
      </c>
      <c r="E12" s="1">
        <v>25</v>
      </c>
      <c r="F12" s="19" t="s">
        <v>11</v>
      </c>
      <c r="G12" s="36">
        <v>950</v>
      </c>
      <c r="H12" s="39" t="str">
        <f t="shared" si="0"/>
        <v>17-JUN</v>
      </c>
      <c r="I12" s="38">
        <f t="shared" si="1"/>
        <v>46190</v>
      </c>
      <c r="N12" s="17" t="s">
        <v>124</v>
      </c>
    </row>
    <row r="13" spans="1:14">
      <c r="A13" s="2" t="s">
        <v>50</v>
      </c>
      <c r="B13" s="2" t="s">
        <v>13</v>
      </c>
      <c r="C13" s="2" t="s">
        <v>35</v>
      </c>
      <c r="D13" s="2">
        <v>90</v>
      </c>
      <c r="E13" s="2">
        <v>40</v>
      </c>
      <c r="F13" s="20"/>
      <c r="G13" s="36">
        <v>90</v>
      </c>
      <c r="H13" s="39" t="str">
        <f t="shared" si="0"/>
        <v>25-NOV</v>
      </c>
      <c r="I13" s="38">
        <f t="shared" si="1"/>
        <v>46351</v>
      </c>
    </row>
    <row r="14" spans="1:14">
      <c r="A14" s="1" t="s">
        <v>51</v>
      </c>
      <c r="B14" s="1" t="s">
        <v>17</v>
      </c>
      <c r="C14" s="1" t="s">
        <v>52</v>
      </c>
      <c r="D14" s="1">
        <v>120</v>
      </c>
      <c r="E14" s="1">
        <v>35</v>
      </c>
      <c r="F14" s="19"/>
      <c r="G14" s="36">
        <v>120</v>
      </c>
      <c r="H14" s="39" t="str">
        <f t="shared" si="0"/>
        <v>08-DEC</v>
      </c>
      <c r="I14" s="38">
        <f t="shared" si="1"/>
        <v>46364</v>
      </c>
    </row>
    <row r="15" spans="1:14">
      <c r="A15" s="2" t="s">
        <v>53</v>
      </c>
      <c r="B15" s="2" t="s">
        <v>54</v>
      </c>
      <c r="C15" s="2" t="s">
        <v>55</v>
      </c>
      <c r="D15" s="2">
        <v>150</v>
      </c>
      <c r="E15" s="2">
        <v>15</v>
      </c>
      <c r="F15" s="20" t="s">
        <v>31</v>
      </c>
      <c r="G15" s="36">
        <v>150</v>
      </c>
      <c r="H15" s="39" t="str">
        <f t="shared" si="0"/>
        <v>18-FEB</v>
      </c>
      <c r="I15" s="38">
        <f t="shared" si="1"/>
        <v>46071</v>
      </c>
    </row>
    <row r="16" spans="1:14">
      <c r="A16" s="1" t="s">
        <v>56</v>
      </c>
      <c r="B16" s="1" t="s">
        <v>57</v>
      </c>
      <c r="C16" s="1" t="s">
        <v>58</v>
      </c>
      <c r="D16" s="1">
        <v>250</v>
      </c>
      <c r="E16" s="1">
        <v>20</v>
      </c>
      <c r="F16" s="19" t="s">
        <v>31</v>
      </c>
      <c r="G16" s="36">
        <v>250</v>
      </c>
      <c r="H16" s="39" t="str">
        <f t="shared" si="0"/>
        <v>16-APR</v>
      </c>
      <c r="I16" s="38">
        <f t="shared" si="1"/>
        <v>46128</v>
      </c>
    </row>
    <row r="17" spans="1:9">
      <c r="A17" s="2" t="s">
        <v>59</v>
      </c>
      <c r="B17" s="2" t="s">
        <v>60</v>
      </c>
      <c r="C17" s="2" t="s">
        <v>61</v>
      </c>
      <c r="D17" s="2">
        <v>50</v>
      </c>
      <c r="E17" s="2">
        <v>35</v>
      </c>
      <c r="F17" s="20" t="s">
        <v>62</v>
      </c>
      <c r="G17" s="36">
        <v>50</v>
      </c>
      <c r="H17" s="39" t="str">
        <f t="shared" si="0"/>
        <v>21-AUG</v>
      </c>
      <c r="I17" s="38">
        <f t="shared" si="1"/>
        <v>46255</v>
      </c>
    </row>
    <row r="18" spans="1:9">
      <c r="A18" s="1" t="s">
        <v>63</v>
      </c>
      <c r="B18" s="1" t="s">
        <v>54</v>
      </c>
      <c r="C18" s="1" t="s">
        <v>64</v>
      </c>
      <c r="D18" s="1">
        <v>160</v>
      </c>
      <c r="E18" s="1">
        <v>15</v>
      </c>
      <c r="F18" s="19" t="s">
        <v>31</v>
      </c>
      <c r="G18" s="36">
        <v>160</v>
      </c>
      <c r="H18" s="39" t="str">
        <f t="shared" si="0"/>
        <v>20-AUG</v>
      </c>
      <c r="I18" s="38">
        <f t="shared" si="1"/>
        <v>46254</v>
      </c>
    </row>
    <row r="19" spans="1:9">
      <c r="A19" s="2" t="s">
        <v>65</v>
      </c>
      <c r="B19" s="2" t="s">
        <v>9</v>
      </c>
      <c r="C19" s="2" t="s">
        <v>66</v>
      </c>
      <c r="D19" s="2">
        <v>980</v>
      </c>
      <c r="E19" s="2">
        <v>10</v>
      </c>
      <c r="F19" s="20" t="s">
        <v>11</v>
      </c>
      <c r="G19" s="36">
        <v>980</v>
      </c>
      <c r="H19" s="39" t="str">
        <f t="shared" si="0"/>
        <v>27-JAN</v>
      </c>
      <c r="I19" s="38">
        <f t="shared" si="1"/>
        <v>46049</v>
      </c>
    </row>
    <row r="20" spans="1:9">
      <c r="A20" s="1" t="s">
        <v>67</v>
      </c>
      <c r="B20" s="1" t="s">
        <v>68</v>
      </c>
      <c r="C20" s="1" t="s">
        <v>69</v>
      </c>
      <c r="D20" s="1">
        <v>150</v>
      </c>
      <c r="E20" s="1">
        <v>15</v>
      </c>
      <c r="F20" s="19" t="s">
        <v>15</v>
      </c>
      <c r="G20" s="36">
        <v>150</v>
      </c>
      <c r="H20" s="39" t="str">
        <f t="shared" si="0"/>
        <v>01-MAR</v>
      </c>
      <c r="I20" s="38">
        <f t="shared" si="1"/>
        <v>46082</v>
      </c>
    </row>
    <row r="21" spans="1:9">
      <c r="A21" s="2" t="s">
        <v>70</v>
      </c>
      <c r="B21" s="2" t="s">
        <v>71</v>
      </c>
      <c r="C21" s="2" t="s">
        <v>72</v>
      </c>
      <c r="D21" s="2"/>
      <c r="E21" s="2">
        <v>10</v>
      </c>
      <c r="F21" s="20" t="s">
        <v>46</v>
      </c>
      <c r="G21" s="36">
        <v>309</v>
      </c>
      <c r="H21" s="39" t="str">
        <f t="shared" si="0"/>
        <v>14-AUG</v>
      </c>
      <c r="I21" s="38">
        <f t="shared" si="1"/>
        <v>46248</v>
      </c>
    </row>
    <row r="22" spans="1:9">
      <c r="A22" s="1" t="s">
        <v>73</v>
      </c>
      <c r="B22" s="1" t="s">
        <v>74</v>
      </c>
      <c r="C22" s="1" t="s">
        <v>75</v>
      </c>
      <c r="D22" s="1">
        <v>700</v>
      </c>
      <c r="E22" s="1">
        <v>50</v>
      </c>
      <c r="F22" s="19" t="s">
        <v>11</v>
      </c>
      <c r="G22" s="36">
        <v>700</v>
      </c>
      <c r="H22" s="39" t="str">
        <f t="shared" si="0"/>
        <v>14-MAY</v>
      </c>
      <c r="I22" s="38">
        <f t="shared" si="1"/>
        <v>46156</v>
      </c>
    </row>
    <row r="23" spans="1:9">
      <c r="A23" s="2" t="s">
        <v>76</v>
      </c>
      <c r="B23" s="2" t="s">
        <v>77</v>
      </c>
      <c r="C23" s="2" t="s">
        <v>78</v>
      </c>
      <c r="D23" s="2">
        <v>80</v>
      </c>
      <c r="E23" s="2">
        <v>20</v>
      </c>
      <c r="F23" s="20" t="s">
        <v>19</v>
      </c>
      <c r="G23" s="36">
        <v>80</v>
      </c>
      <c r="H23" s="39" t="str">
        <f t="shared" si="0"/>
        <v>09-JAN</v>
      </c>
      <c r="I23" s="38">
        <f t="shared" si="1"/>
        <v>46031</v>
      </c>
    </row>
    <row r="24" spans="1:9">
      <c r="A24" s="1" t="s">
        <v>79</v>
      </c>
      <c r="B24" s="1" t="s">
        <v>80</v>
      </c>
      <c r="C24" s="1" t="s">
        <v>81</v>
      </c>
      <c r="D24" s="1">
        <v>150</v>
      </c>
      <c r="E24" s="1">
        <v>30</v>
      </c>
      <c r="F24" s="19"/>
      <c r="G24" s="36">
        <v>150</v>
      </c>
      <c r="H24" s="39" t="str">
        <f t="shared" si="0"/>
        <v>19-JUL</v>
      </c>
      <c r="I24" s="38">
        <f t="shared" si="1"/>
        <v>46222</v>
      </c>
    </row>
    <row r="25" spans="1:9">
      <c r="A25" s="2" t="s">
        <v>59</v>
      </c>
      <c r="B25" s="2" t="s">
        <v>60</v>
      </c>
      <c r="C25" s="2" t="s">
        <v>61</v>
      </c>
      <c r="D25" s="2">
        <v>50</v>
      </c>
      <c r="E25" s="2">
        <v>35</v>
      </c>
      <c r="F25" s="20" t="s">
        <v>62</v>
      </c>
      <c r="G25" s="36">
        <v>50</v>
      </c>
      <c r="H25" s="39" t="str">
        <f t="shared" si="0"/>
        <v>21-AUG</v>
      </c>
      <c r="I25" s="38">
        <f t="shared" si="1"/>
        <v>46255</v>
      </c>
    </row>
    <row r="26" spans="1:9">
      <c r="A26" s="1" t="s">
        <v>82</v>
      </c>
      <c r="B26" s="1" t="s">
        <v>83</v>
      </c>
      <c r="C26" s="1" t="s">
        <v>84</v>
      </c>
      <c r="D26" s="1">
        <v>800</v>
      </c>
      <c r="E26" s="1">
        <v>45</v>
      </c>
      <c r="F26" s="19" t="s">
        <v>11</v>
      </c>
      <c r="G26" s="36">
        <v>800</v>
      </c>
      <c r="H26" s="39" t="str">
        <f t="shared" si="0"/>
        <v>29-SEP</v>
      </c>
      <c r="I26" s="38">
        <f t="shared" si="1"/>
        <v>46294</v>
      </c>
    </row>
    <row r="27" spans="1:9">
      <c r="A27" s="2" t="s">
        <v>85</v>
      </c>
      <c r="B27" s="2" t="s">
        <v>68</v>
      </c>
      <c r="C27" s="2" t="s">
        <v>86</v>
      </c>
      <c r="D27" s="2"/>
      <c r="E27" s="2">
        <v>25</v>
      </c>
      <c r="F27" s="20" t="s">
        <v>15</v>
      </c>
      <c r="G27" s="36">
        <v>309</v>
      </c>
      <c r="H27" s="39" t="str">
        <f t="shared" si="0"/>
        <v>03-JUN</v>
      </c>
      <c r="I27" s="38">
        <f t="shared" si="1"/>
        <v>46176</v>
      </c>
    </row>
    <row r="28" spans="1:9">
      <c r="A28" s="1" t="s">
        <v>87</v>
      </c>
      <c r="B28" s="1" t="s">
        <v>38</v>
      </c>
      <c r="C28" s="1" t="s">
        <v>88</v>
      </c>
      <c r="D28" s="1">
        <v>400</v>
      </c>
      <c r="E28" s="1">
        <v>40</v>
      </c>
      <c r="F28" s="19" t="s">
        <v>19</v>
      </c>
      <c r="G28" s="36">
        <v>400</v>
      </c>
      <c r="H28" s="39" t="str">
        <f t="shared" si="0"/>
        <v>11-JUL</v>
      </c>
      <c r="I28" s="38">
        <f t="shared" si="1"/>
        <v>46214</v>
      </c>
    </row>
    <row r="29" spans="1:9">
      <c r="A29" s="2" t="s">
        <v>56</v>
      </c>
      <c r="B29" s="2" t="s">
        <v>57</v>
      </c>
      <c r="C29" s="2" t="s">
        <v>58</v>
      </c>
      <c r="D29" s="2">
        <v>250</v>
      </c>
      <c r="E29" s="2">
        <v>20</v>
      </c>
      <c r="F29" s="20" t="s">
        <v>31</v>
      </c>
      <c r="G29" s="36">
        <v>250</v>
      </c>
      <c r="H29" s="39" t="str">
        <f t="shared" si="0"/>
        <v>16-APR</v>
      </c>
      <c r="I29" s="38">
        <f t="shared" si="1"/>
        <v>46128</v>
      </c>
    </row>
    <row r="30" spans="1:9">
      <c r="A30" s="1" t="s">
        <v>89</v>
      </c>
      <c r="B30" s="1" t="s">
        <v>90</v>
      </c>
      <c r="C30" s="1" t="s">
        <v>91</v>
      </c>
      <c r="D30" s="1">
        <v>60</v>
      </c>
      <c r="E30" s="1">
        <v>30</v>
      </c>
      <c r="F30" s="19" t="s">
        <v>15</v>
      </c>
      <c r="G30" s="36">
        <v>60</v>
      </c>
      <c r="H30" s="39" t="str">
        <f t="shared" si="0"/>
        <v>07-MAR</v>
      </c>
      <c r="I30" s="38">
        <f t="shared" si="1"/>
        <v>46088</v>
      </c>
    </row>
    <row r="31" spans="1:9">
      <c r="A31" s="2" t="s">
        <v>92</v>
      </c>
      <c r="B31" s="2" t="s">
        <v>93</v>
      </c>
      <c r="C31" s="2" t="s">
        <v>94</v>
      </c>
      <c r="D31" s="2">
        <v>40</v>
      </c>
      <c r="E31" s="2">
        <v>10</v>
      </c>
      <c r="F31" s="20" t="s">
        <v>19</v>
      </c>
      <c r="G31" s="36">
        <v>40</v>
      </c>
      <c r="H31" s="39" t="str">
        <f t="shared" si="0"/>
        <v>13-APR</v>
      </c>
      <c r="I31" s="38">
        <f t="shared" si="1"/>
        <v>46125</v>
      </c>
    </row>
    <row r="32" spans="1:9">
      <c r="A32" s="1" t="s">
        <v>95</v>
      </c>
      <c r="B32" s="1" t="s">
        <v>80</v>
      </c>
      <c r="C32" s="1" t="s">
        <v>96</v>
      </c>
      <c r="D32" s="1">
        <v>130</v>
      </c>
      <c r="E32" s="1">
        <v>5</v>
      </c>
      <c r="F32" s="19" t="s">
        <v>11</v>
      </c>
      <c r="G32" s="36">
        <v>130</v>
      </c>
      <c r="H32" s="39" t="str">
        <f t="shared" si="0"/>
        <v>24-MAY</v>
      </c>
      <c r="I32" s="38">
        <f t="shared" si="1"/>
        <v>46166</v>
      </c>
    </row>
    <row r="33" spans="1:9">
      <c r="A33" s="2" t="s">
        <v>97</v>
      </c>
      <c r="B33" s="2" t="s">
        <v>98</v>
      </c>
      <c r="C33" s="2" t="s">
        <v>99</v>
      </c>
      <c r="D33" s="2">
        <v>50</v>
      </c>
      <c r="E33" s="2">
        <v>50</v>
      </c>
      <c r="F33" s="20" t="s">
        <v>15</v>
      </c>
      <c r="G33" s="36">
        <v>50</v>
      </c>
      <c r="H33" s="39" t="str">
        <f t="shared" si="0"/>
        <v>02-DEC</v>
      </c>
      <c r="I33" s="38">
        <f t="shared" si="1"/>
        <v>46358</v>
      </c>
    </row>
    <row r="34" spans="1:9">
      <c r="A34" s="1" t="s">
        <v>47</v>
      </c>
      <c r="B34" s="1" t="s">
        <v>48</v>
      </c>
      <c r="C34" s="1" t="s">
        <v>49</v>
      </c>
      <c r="D34" s="1">
        <v>950</v>
      </c>
      <c r="E34" s="1">
        <v>25</v>
      </c>
      <c r="F34" s="19" t="s">
        <v>11</v>
      </c>
      <c r="G34" s="36">
        <v>950</v>
      </c>
      <c r="H34" s="39" t="str">
        <f t="shared" si="0"/>
        <v>17-JUN</v>
      </c>
      <c r="I34" s="38">
        <f t="shared" si="1"/>
        <v>46190</v>
      </c>
    </row>
    <row r="35" spans="1:9">
      <c r="A35" s="2" t="s">
        <v>100</v>
      </c>
      <c r="B35" s="2" t="s">
        <v>101</v>
      </c>
      <c r="C35" s="2" t="s">
        <v>102</v>
      </c>
      <c r="D35" s="2">
        <v>100</v>
      </c>
      <c r="E35" s="2">
        <v>20</v>
      </c>
      <c r="F35" s="20" t="s">
        <v>62</v>
      </c>
      <c r="G35" s="36">
        <v>100</v>
      </c>
      <c r="H35" s="39" t="str">
        <f t="shared" si="0"/>
        <v>09-JUL</v>
      </c>
      <c r="I35" s="38">
        <f t="shared" si="1"/>
        <v>46212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1489-6ABA-49B4-B9A1-94A5FD640869}">
  <dimension ref="A1:N35"/>
  <sheetViews>
    <sheetView tabSelected="1" topLeftCell="E1" workbookViewId="0">
      <selection activeCell="L8" sqref="L8"/>
    </sheetView>
  </sheetViews>
  <sheetFormatPr defaultRowHeight="15"/>
  <cols>
    <col min="1" max="1" width="12.42578125" bestFit="1" customWidth="1"/>
    <col min="2" max="2" width="15.42578125" bestFit="1" customWidth="1"/>
    <col min="3" max="3" width="13.42578125" bestFit="1" customWidth="1"/>
    <col min="4" max="4" width="9.7109375" bestFit="1" customWidth="1"/>
    <col min="5" max="5" width="10" bestFit="1" customWidth="1"/>
    <col min="6" max="6" width="12.42578125" bestFit="1" customWidth="1"/>
    <col min="14" max="14" width="85.140625" bestFit="1" customWidth="1"/>
  </cols>
  <sheetData>
    <row r="1" spans="1:14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3</v>
      </c>
    </row>
    <row r="2" spans="1:14">
      <c r="A2" s="24" t="s">
        <v>8</v>
      </c>
      <c r="B2" s="24" t="s">
        <v>48</v>
      </c>
      <c r="C2" s="24" t="s">
        <v>10</v>
      </c>
      <c r="D2" s="24">
        <v>1000</v>
      </c>
      <c r="E2" s="24">
        <v>30</v>
      </c>
      <c r="F2" s="24" t="s">
        <v>11</v>
      </c>
      <c r="G2" s="24">
        <v>1000</v>
      </c>
    </row>
    <row r="3" spans="1:14">
      <c r="A3" s="25" t="s">
        <v>12</v>
      </c>
      <c r="B3" s="25" t="s">
        <v>13</v>
      </c>
      <c r="C3" s="25" t="s">
        <v>14</v>
      </c>
      <c r="D3" s="25">
        <v>80</v>
      </c>
      <c r="E3" s="25">
        <v>15</v>
      </c>
      <c r="F3" s="25" t="s">
        <v>15</v>
      </c>
      <c r="G3" s="25">
        <v>80</v>
      </c>
    </row>
    <row r="4" spans="1:14">
      <c r="A4" s="24" t="s">
        <v>16</v>
      </c>
      <c r="B4" s="24" t="s">
        <v>17</v>
      </c>
      <c r="C4" s="24" t="s">
        <v>18</v>
      </c>
      <c r="D4" s="24">
        <v>130</v>
      </c>
      <c r="E4" s="24">
        <v>40</v>
      </c>
      <c r="F4" s="24" t="s">
        <v>19</v>
      </c>
      <c r="G4" s="24">
        <v>130</v>
      </c>
    </row>
    <row r="5" spans="1:14">
      <c r="A5" s="25" t="s">
        <v>20</v>
      </c>
      <c r="B5" s="25" t="s">
        <v>83</v>
      </c>
      <c r="C5" s="25" t="s">
        <v>22</v>
      </c>
      <c r="D5" s="25">
        <v>900</v>
      </c>
      <c r="E5" s="25">
        <v>25</v>
      </c>
      <c r="F5" s="25" t="s">
        <v>11</v>
      </c>
      <c r="G5" s="25">
        <v>900</v>
      </c>
    </row>
    <row r="6" spans="1:14" ht="15.75">
      <c r="A6" s="26" t="s">
        <v>24</v>
      </c>
      <c r="B6" s="26" t="s">
        <v>25</v>
      </c>
      <c r="C6" s="26" t="s">
        <v>26</v>
      </c>
      <c r="D6" s="26">
        <v>70</v>
      </c>
      <c r="E6" s="26">
        <v>20</v>
      </c>
      <c r="F6" s="26" t="s">
        <v>62</v>
      </c>
      <c r="G6" s="26">
        <v>70</v>
      </c>
      <c r="N6" s="14" t="s">
        <v>132</v>
      </c>
    </row>
    <row r="7" spans="1:14" ht="15.75">
      <c r="A7" s="25" t="s">
        <v>28</v>
      </c>
      <c r="B7" s="25" t="s">
        <v>29</v>
      </c>
      <c r="C7" s="25" t="s">
        <v>30</v>
      </c>
      <c r="D7" s="25">
        <v>309</v>
      </c>
      <c r="E7" s="25">
        <v>45</v>
      </c>
      <c r="F7" s="25" t="s">
        <v>11</v>
      </c>
      <c r="G7" s="25">
        <v>309</v>
      </c>
      <c r="N7" s="15" t="s">
        <v>133</v>
      </c>
    </row>
    <row r="8" spans="1:14" ht="15.75">
      <c r="A8" s="24" t="s">
        <v>33</v>
      </c>
      <c r="B8" s="24" t="s">
        <v>34</v>
      </c>
      <c r="C8" s="24" t="s">
        <v>35</v>
      </c>
      <c r="D8" s="24">
        <v>30</v>
      </c>
      <c r="E8" s="24">
        <v>5</v>
      </c>
      <c r="F8" s="24" t="s">
        <v>15</v>
      </c>
      <c r="G8" s="24">
        <v>30</v>
      </c>
      <c r="N8" s="16" t="s">
        <v>134</v>
      </c>
    </row>
    <row r="9" spans="1:14" ht="15.75">
      <c r="A9" s="25" t="s">
        <v>37</v>
      </c>
      <c r="B9" s="25" t="s">
        <v>38</v>
      </c>
      <c r="C9" s="25" t="s">
        <v>39</v>
      </c>
      <c r="D9" s="25">
        <v>90</v>
      </c>
      <c r="E9" s="25">
        <v>35</v>
      </c>
      <c r="F9" s="25" t="s">
        <v>19</v>
      </c>
      <c r="G9" s="25">
        <v>90</v>
      </c>
      <c r="N9" s="16" t="s">
        <v>135</v>
      </c>
    </row>
    <row r="10" spans="1:14">
      <c r="A10" s="24" t="s">
        <v>40</v>
      </c>
      <c r="B10" s="24" t="s">
        <v>41</v>
      </c>
      <c r="C10" s="24" t="s">
        <v>42</v>
      </c>
      <c r="D10" s="24">
        <v>500</v>
      </c>
      <c r="E10" s="24">
        <v>50</v>
      </c>
      <c r="F10" s="24" t="s">
        <v>11</v>
      </c>
      <c r="G10" s="24">
        <v>500</v>
      </c>
    </row>
    <row r="11" spans="1:14" ht="45.75">
      <c r="A11" s="25" t="s">
        <v>43</v>
      </c>
      <c r="B11" s="25" t="s">
        <v>44</v>
      </c>
      <c r="C11" s="25" t="s">
        <v>45</v>
      </c>
      <c r="D11" s="25">
        <v>130</v>
      </c>
      <c r="E11" s="25">
        <v>10</v>
      </c>
      <c r="F11" s="25" t="s">
        <v>46</v>
      </c>
      <c r="G11" s="25">
        <v>130</v>
      </c>
      <c r="N11" s="40" t="s">
        <v>136</v>
      </c>
    </row>
    <row r="12" spans="1:14">
      <c r="A12" s="24" t="s">
        <v>47</v>
      </c>
      <c r="B12" s="24" t="s">
        <v>48</v>
      </c>
      <c r="C12" s="24" t="s">
        <v>49</v>
      </c>
      <c r="D12" s="24">
        <v>950</v>
      </c>
      <c r="E12" s="24">
        <v>25</v>
      </c>
      <c r="F12" s="24" t="s">
        <v>11</v>
      </c>
      <c r="G12" s="24">
        <v>950</v>
      </c>
      <c r="N12" t="s">
        <v>137</v>
      </c>
    </row>
    <row r="13" spans="1:14">
      <c r="A13" s="25" t="s">
        <v>50</v>
      </c>
      <c r="B13" s="25" t="s">
        <v>13</v>
      </c>
      <c r="C13" s="25" t="s">
        <v>35</v>
      </c>
      <c r="D13" s="25">
        <v>90</v>
      </c>
      <c r="E13" s="25">
        <v>40</v>
      </c>
      <c r="F13" s="25" t="s">
        <v>15</v>
      </c>
      <c r="G13" s="25">
        <v>90</v>
      </c>
    </row>
    <row r="14" spans="1:14">
      <c r="A14" s="24" t="s">
        <v>51</v>
      </c>
      <c r="B14" s="24" t="s">
        <v>17</v>
      </c>
      <c r="C14" s="24" t="s">
        <v>52</v>
      </c>
      <c r="D14" s="24">
        <v>120</v>
      </c>
      <c r="E14" s="24">
        <v>35</v>
      </c>
      <c r="F14" s="24" t="s">
        <v>19</v>
      </c>
      <c r="G14" s="24">
        <v>120</v>
      </c>
    </row>
    <row r="15" spans="1:14">
      <c r="A15" s="25" t="s">
        <v>53</v>
      </c>
      <c r="B15" s="25" t="s">
        <v>54</v>
      </c>
      <c r="C15" s="25" t="s">
        <v>55</v>
      </c>
      <c r="D15" s="25">
        <v>150</v>
      </c>
      <c r="E15" s="25">
        <v>15</v>
      </c>
      <c r="F15" s="25" t="s">
        <v>11</v>
      </c>
      <c r="G15" s="25">
        <v>150</v>
      </c>
    </row>
    <row r="16" spans="1:14">
      <c r="A16" s="24" t="s">
        <v>56</v>
      </c>
      <c r="B16" s="24" t="s">
        <v>29</v>
      </c>
      <c r="C16" s="24" t="s">
        <v>58</v>
      </c>
      <c r="D16" s="24">
        <v>250</v>
      </c>
      <c r="E16" s="24">
        <v>20</v>
      </c>
      <c r="F16" s="24" t="s">
        <v>11</v>
      </c>
      <c r="G16" s="24">
        <v>250</v>
      </c>
    </row>
    <row r="17" spans="1:7">
      <c r="A17" s="25" t="s">
        <v>59</v>
      </c>
      <c r="B17" s="25" t="s">
        <v>60</v>
      </c>
      <c r="C17" s="25" t="s">
        <v>61</v>
      </c>
      <c r="D17" s="25">
        <v>50</v>
      </c>
      <c r="E17" s="25">
        <v>35</v>
      </c>
      <c r="F17" s="25" t="s">
        <v>62</v>
      </c>
      <c r="G17" s="25">
        <v>50</v>
      </c>
    </row>
    <row r="18" spans="1:7">
      <c r="A18" s="24" t="s">
        <v>63</v>
      </c>
      <c r="B18" s="24" t="s">
        <v>54</v>
      </c>
      <c r="C18" s="24" t="s">
        <v>64</v>
      </c>
      <c r="D18" s="24">
        <v>160</v>
      </c>
      <c r="E18" s="24">
        <v>15</v>
      </c>
      <c r="F18" s="24" t="s">
        <v>11</v>
      </c>
      <c r="G18" s="24">
        <v>160</v>
      </c>
    </row>
    <row r="19" spans="1:7">
      <c r="A19" s="25" t="s">
        <v>65</v>
      </c>
      <c r="B19" s="25" t="s">
        <v>48</v>
      </c>
      <c r="C19" s="25" t="s">
        <v>66</v>
      </c>
      <c r="D19" s="25">
        <v>980</v>
      </c>
      <c r="E19" s="25">
        <v>10</v>
      </c>
      <c r="F19" s="25" t="s">
        <v>11</v>
      </c>
      <c r="G19" s="25">
        <v>980</v>
      </c>
    </row>
    <row r="20" spans="1:7">
      <c r="A20" s="24" t="s">
        <v>67</v>
      </c>
      <c r="B20" s="24" t="s">
        <v>68</v>
      </c>
      <c r="C20" s="24" t="s">
        <v>69</v>
      </c>
      <c r="D20" s="24">
        <v>150</v>
      </c>
      <c r="E20" s="24">
        <v>15</v>
      </c>
      <c r="F20" s="24" t="s">
        <v>15</v>
      </c>
      <c r="G20" s="24">
        <v>150</v>
      </c>
    </row>
    <row r="21" spans="1:7">
      <c r="A21" s="25" t="s">
        <v>70</v>
      </c>
      <c r="B21" s="25" t="s">
        <v>71</v>
      </c>
      <c r="C21" s="25" t="s">
        <v>72</v>
      </c>
      <c r="D21" s="25">
        <v>309</v>
      </c>
      <c r="E21" s="25">
        <v>10</v>
      </c>
      <c r="F21" s="25" t="s">
        <v>46</v>
      </c>
      <c r="G21" s="25">
        <v>309</v>
      </c>
    </row>
    <row r="22" spans="1:7">
      <c r="A22" s="24" t="s">
        <v>73</v>
      </c>
      <c r="B22" s="24" t="s">
        <v>74</v>
      </c>
      <c r="C22" s="24" t="s">
        <v>75</v>
      </c>
      <c r="D22" s="24">
        <v>700</v>
      </c>
      <c r="E22" s="24">
        <v>50</v>
      </c>
      <c r="F22" s="24" t="s">
        <v>11</v>
      </c>
      <c r="G22" s="24">
        <v>700</v>
      </c>
    </row>
    <row r="23" spans="1:7">
      <c r="A23" s="25" t="s">
        <v>76</v>
      </c>
      <c r="B23" s="25" t="s">
        <v>77</v>
      </c>
      <c r="C23" s="25" t="s">
        <v>78</v>
      </c>
      <c r="D23" s="25">
        <v>80</v>
      </c>
      <c r="E23" s="25">
        <v>20</v>
      </c>
      <c r="F23" s="25" t="s">
        <v>19</v>
      </c>
      <c r="G23" s="25">
        <v>80</v>
      </c>
    </row>
    <row r="24" spans="1:7">
      <c r="A24" s="24" t="s">
        <v>79</v>
      </c>
      <c r="B24" s="24" t="s">
        <v>80</v>
      </c>
      <c r="C24" s="24" t="s">
        <v>81</v>
      </c>
      <c r="D24" s="24">
        <v>150</v>
      </c>
      <c r="E24" s="24">
        <v>30</v>
      </c>
      <c r="F24" s="24" t="s">
        <v>11</v>
      </c>
      <c r="G24" s="24">
        <v>150</v>
      </c>
    </row>
    <row r="25" spans="1:7">
      <c r="A25" s="25" t="s">
        <v>59</v>
      </c>
      <c r="B25" s="25" t="s">
        <v>60</v>
      </c>
      <c r="C25" s="25" t="s">
        <v>61</v>
      </c>
      <c r="D25" s="25">
        <v>50</v>
      </c>
      <c r="E25" s="25">
        <v>35</v>
      </c>
      <c r="F25" s="25" t="s">
        <v>62</v>
      </c>
      <c r="G25" s="25">
        <v>50</v>
      </c>
    </row>
    <row r="26" spans="1:7">
      <c r="A26" s="24" t="s">
        <v>82</v>
      </c>
      <c r="B26" s="24" t="s">
        <v>83</v>
      </c>
      <c r="C26" s="24" t="s">
        <v>84</v>
      </c>
      <c r="D26" s="24">
        <v>800</v>
      </c>
      <c r="E26" s="24">
        <v>45</v>
      </c>
      <c r="F26" s="24" t="s">
        <v>11</v>
      </c>
      <c r="G26" s="24">
        <v>800</v>
      </c>
    </row>
    <row r="27" spans="1:7">
      <c r="A27" s="25" t="s">
        <v>85</v>
      </c>
      <c r="B27" s="25" t="s">
        <v>68</v>
      </c>
      <c r="C27" s="25" t="s">
        <v>86</v>
      </c>
      <c r="D27" s="25">
        <v>309</v>
      </c>
      <c r="E27" s="25">
        <v>25</v>
      </c>
      <c r="F27" s="25" t="s">
        <v>15</v>
      </c>
      <c r="G27" s="25">
        <v>309</v>
      </c>
    </row>
    <row r="28" spans="1:7">
      <c r="A28" s="24" t="s">
        <v>87</v>
      </c>
      <c r="B28" s="24" t="s">
        <v>38</v>
      </c>
      <c r="C28" s="24" t="s">
        <v>88</v>
      </c>
      <c r="D28" s="24">
        <v>400</v>
      </c>
      <c r="E28" s="24">
        <v>40</v>
      </c>
      <c r="F28" s="24" t="s">
        <v>19</v>
      </c>
      <c r="G28" s="24">
        <v>400</v>
      </c>
    </row>
    <row r="29" spans="1:7">
      <c r="A29" s="25" t="s">
        <v>56</v>
      </c>
      <c r="B29" s="25" t="s">
        <v>29</v>
      </c>
      <c r="C29" s="25" t="s">
        <v>58</v>
      </c>
      <c r="D29" s="25">
        <v>250</v>
      </c>
      <c r="E29" s="25">
        <v>20</v>
      </c>
      <c r="F29" s="25" t="s">
        <v>11</v>
      </c>
      <c r="G29" s="25">
        <v>250</v>
      </c>
    </row>
    <row r="30" spans="1:7">
      <c r="A30" s="24" t="s">
        <v>89</v>
      </c>
      <c r="B30" s="24" t="s">
        <v>90</v>
      </c>
      <c r="C30" s="24" t="s">
        <v>91</v>
      </c>
      <c r="D30" s="24">
        <v>60</v>
      </c>
      <c r="E30" s="24">
        <v>30</v>
      </c>
      <c r="F30" s="24" t="s">
        <v>15</v>
      </c>
      <c r="G30" s="24">
        <v>60</v>
      </c>
    </row>
    <row r="31" spans="1:7">
      <c r="A31" s="25" t="s">
        <v>92</v>
      </c>
      <c r="B31" s="25" t="s">
        <v>93</v>
      </c>
      <c r="C31" s="25" t="s">
        <v>94</v>
      </c>
      <c r="D31" s="25">
        <v>40</v>
      </c>
      <c r="E31" s="25">
        <v>10</v>
      </c>
      <c r="F31" s="25" t="s">
        <v>19</v>
      </c>
      <c r="G31" s="25">
        <v>40</v>
      </c>
    </row>
    <row r="32" spans="1:7">
      <c r="A32" s="24" t="s">
        <v>95</v>
      </c>
      <c r="B32" s="24" t="s">
        <v>80</v>
      </c>
      <c r="C32" s="24" t="s">
        <v>96</v>
      </c>
      <c r="D32" s="24">
        <v>130</v>
      </c>
      <c r="E32" s="24">
        <v>5</v>
      </c>
      <c r="F32" s="24" t="s">
        <v>11</v>
      </c>
      <c r="G32" s="24">
        <v>130</v>
      </c>
    </row>
    <row r="33" spans="1:7">
      <c r="A33" s="25" t="s">
        <v>97</v>
      </c>
      <c r="B33" s="25" t="s">
        <v>98</v>
      </c>
      <c r="C33" s="25" t="s">
        <v>99</v>
      </c>
      <c r="D33" s="25">
        <v>50</v>
      </c>
      <c r="E33" s="25">
        <v>50</v>
      </c>
      <c r="F33" s="25" t="s">
        <v>15</v>
      </c>
      <c r="G33" s="25">
        <v>50</v>
      </c>
    </row>
    <row r="34" spans="1:7">
      <c r="A34" s="24" t="s">
        <v>47</v>
      </c>
      <c r="B34" s="24" t="s">
        <v>48</v>
      </c>
      <c r="C34" s="24" t="s">
        <v>49</v>
      </c>
      <c r="D34" s="24">
        <v>950</v>
      </c>
      <c r="E34" s="24">
        <v>25</v>
      </c>
      <c r="F34" s="24" t="s">
        <v>11</v>
      </c>
      <c r="G34" s="24">
        <v>950</v>
      </c>
    </row>
    <row r="35" spans="1:7">
      <c r="A35" s="25" t="s">
        <v>100</v>
      </c>
      <c r="B35" s="25" t="s">
        <v>101</v>
      </c>
      <c r="C35" s="25" t="s">
        <v>102</v>
      </c>
      <c r="D35" s="25">
        <v>100</v>
      </c>
      <c r="E35" s="25">
        <v>20</v>
      </c>
      <c r="F35" s="25" t="s">
        <v>62</v>
      </c>
      <c r="G35" s="25">
        <v>100</v>
      </c>
    </row>
  </sheetData>
  <conditionalFormatting sqref="D1:D104857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G1048576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{E45C16BB-702D-4701-8AFC-8F08AFE9DD7B}</x14:id>
        </ext>
      </extLst>
    </cfRule>
  </conditionalFormatting>
  <conditionalFormatting sqref="F2:F35">
    <cfRule type="expression" dxfId="0" priority="1" stopIfTrue="1">
      <formula>F2="Electronics"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5C16BB-702D-4701-8AFC-8F08AFE9DD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2026-08-26T05:57:27Z</dcterms:created>
  <dcterms:modified xsi:type="dcterms:W3CDTF">2026-08-28T09:02:06Z</dcterms:modified>
  <cp:category/>
  <cp:contentStatus/>
</cp:coreProperties>
</file>